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ocuments\Advanced Excel Essentials\Chapter Files\Chapter 7\"/>
    </mc:Choice>
  </mc:AlternateContent>
  <bookViews>
    <workbookView xWindow="0" yWindow="0" windowWidth="20490" windowHeight="8655"/>
  </bookViews>
  <sheets>
    <sheet name="Welcome" sheetId="4" r:id="rId1"/>
    <sheet name="Wizard" sheetId="1" r:id="rId2"/>
    <sheet name="Database" sheetId="3" r:id="rId3"/>
    <sheet name="Analysis" sheetId="5" r:id="rId4"/>
    <sheet name="Helper" sheetId="2" r:id="rId5"/>
  </sheets>
  <definedNames>
    <definedName name="Database.BeginCountryCell">INDEX(Database[Country Name],1)</definedName>
    <definedName name="Database.CountryNameList">Database.BeginCountryCell:INDEX(Database[Country Name],Database.RecordCount)</definedName>
    <definedName name="Database.CurrentIndex">Database!$B$6</definedName>
    <definedName name="Database.InputEntry">Database!$A$2:$H$2</definedName>
    <definedName name="Database.RecordCount">Database!$B$4</definedName>
    <definedName name="Database.RecordMax">Database!$B$5</definedName>
    <definedName name="Helper.CurrentPageIndex">Helper!$B$1</definedName>
    <definedName name="Helper.InstructionsTable">Helper!$A$6:$A$9</definedName>
    <definedName name="Helper.TotalPages">Helper!$B$2</definedName>
    <definedName name="Wizard.Comment">Wizard!$G$6</definedName>
    <definedName name="Wizard.CountryName">Wizard!$G$4</definedName>
    <definedName name="Wizard.FinancialFairness">Wizard!$O$8</definedName>
    <definedName name="Wizard.HealthDistribution">Wizard!$O$10</definedName>
    <definedName name="Wizard.HealthLevel">Wizard!$O$4</definedName>
    <definedName name="Wizard.Responsiveness">Wizard!$O$6</definedName>
    <definedName name="Wizard.ResponsivenessDistribution">Wizard!$O$12</definedName>
    <definedName name="Wizard.StepRange">Wizard!$B$4:$B$6</definedName>
    <definedName name="Wizard.View1">Wizard!$D:$J</definedName>
    <definedName name="Wizard.View1.FirstFocus">Wizard!$G$4</definedName>
    <definedName name="Wizard.View2">Wizard!$K:$Q</definedName>
    <definedName name="Wizard.View2.FirstFocus">Wizard!$O$4</definedName>
    <definedName name="Wizard.View3">Wizard!$R:$W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B5" i="3" l="1"/>
  <c r="B4" i="3"/>
  <c r="B2" i="3" l="1"/>
  <c r="C2" i="3"/>
  <c r="D2" i="3"/>
  <c r="E2" i="3"/>
  <c r="F2" i="3"/>
  <c r="G2" i="3"/>
  <c r="H2" i="3"/>
  <c r="L2" i="1" l="1"/>
  <c r="A4" i="1"/>
  <c r="A5" i="1"/>
  <c r="A6" i="1"/>
  <c r="S2" i="1" l="1"/>
  <c r="E2" i="1"/>
  <c r="B13" i="1"/>
</calcChain>
</file>

<file path=xl/sharedStrings.xml><?xml version="1.0" encoding="utf-8"?>
<sst xmlns="http://schemas.openxmlformats.org/spreadsheetml/2006/main" count="52" uniqueCount="35">
  <si>
    <t>Complete all steps</t>
  </si>
  <si>
    <t>Current Page Index</t>
  </si>
  <si>
    <t>Total Pages</t>
  </si>
  <si>
    <t>1. Introduction</t>
  </si>
  <si>
    <t>Comment</t>
  </si>
  <si>
    <t>&lt;--Helper.CurrentPageIndex</t>
  </si>
  <si>
    <t>&lt;-- Helper.TotalPages</t>
  </si>
  <si>
    <t>2. Country Information</t>
  </si>
  <si>
    <t>3. Summary</t>
  </si>
  <si>
    <t>Country Name</t>
  </si>
  <si>
    <t>Responsiveness Distribution</t>
  </si>
  <si>
    <t>Health Distribution</t>
  </si>
  <si>
    <t>Health Level</t>
  </si>
  <si>
    <t>Responsiveness</t>
  </si>
  <si>
    <t>Financial Fairness</t>
  </si>
  <si>
    <t>County Comment</t>
  </si>
  <si>
    <t>Record Count</t>
  </si>
  <si>
    <t>Current Index</t>
  </si>
  <si>
    <t>Country Id</t>
  </si>
  <si>
    <t>Country Comment</t>
  </si>
  <si>
    <r>
      <t xml:space="preserve">Or, use the </t>
    </r>
    <r>
      <rPr>
        <b/>
        <sz val="11"/>
        <color theme="1"/>
        <rFont val="Segoe UI"/>
        <family val="2"/>
      </rPr>
      <t>Back</t>
    </r>
    <r>
      <rPr>
        <sz val="11"/>
        <color theme="1"/>
        <rFont val="Segoe UI"/>
        <family val="2"/>
      </rPr>
      <t xml:space="preserve"> button to change your responses. </t>
    </r>
  </si>
  <si>
    <r>
      <rPr>
        <b/>
        <sz val="11"/>
        <color theme="1"/>
        <rFont val="Segoe UI"/>
        <family val="2"/>
      </rPr>
      <t>Finished?</t>
    </r>
    <r>
      <rPr>
        <sz val="11"/>
        <color theme="1"/>
        <rFont val="Segoe UI"/>
        <family val="2"/>
      </rPr>
      <t xml:space="preserve"> You can</t>
    </r>
  </si>
  <si>
    <t>/10</t>
  </si>
  <si>
    <t>National Healthcare Comparison Tool</t>
  </si>
  <si>
    <t>Jaca</t>
  </si>
  <si>
    <t>Hoanga</t>
  </si>
  <si>
    <t>Iqeiskya</t>
  </si>
  <si>
    <t>Acoaslesh</t>
  </si>
  <si>
    <t>Ithha</t>
  </si>
  <si>
    <t>Click INSERT NEW to insert a new national record into the database.</t>
  </si>
  <si>
    <t>Record Management</t>
  </si>
  <si>
    <r>
      <t xml:space="preserve">Or, select from the list below to </t>
    </r>
    <r>
      <rPr>
        <b/>
        <sz val="10"/>
        <color theme="1" tint="4.9989318521683403E-2"/>
        <rFont val="Segoe UI Semibold"/>
        <family val="2"/>
      </rPr>
      <t>EDIT</t>
    </r>
    <r>
      <rPr>
        <sz val="10"/>
        <color theme="1" tint="4.9989318521683403E-2"/>
        <rFont val="Segoe UI Semibold"/>
        <family val="2"/>
      </rPr>
      <t xml:space="preserve"> or </t>
    </r>
    <r>
      <rPr>
        <b/>
        <sz val="10"/>
        <color theme="1" tint="4.9989318521683403E-2"/>
        <rFont val="Segoe UI Semibold"/>
        <family val="2"/>
      </rPr>
      <t>DELETE</t>
    </r>
    <r>
      <rPr>
        <sz val="10"/>
        <color theme="1" tint="4.9989318521683403E-2"/>
        <rFont val="Segoe UI Semibold"/>
        <family val="2"/>
      </rPr>
      <t xml:space="preserve"> an entry.</t>
    </r>
  </si>
  <si>
    <t>`</t>
  </si>
  <si>
    <t>Record Max</t>
  </si>
  <si>
    <t>FakePlace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</si>
</sst>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Color15][=0]\●;[Color9][=1]\●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sz val="12"/>
      <color theme="1"/>
      <name val="Segoe UI"/>
      <family val="2"/>
    </font>
    <font>
      <sz val="8"/>
      <color rgb="FF000000"/>
      <name val="Arial"/>
      <family val="2"/>
    </font>
    <font>
      <sz val="18"/>
      <color theme="4" tint="-0.499984740745262"/>
      <name val="Segoe UI"/>
      <family val="2"/>
    </font>
    <font>
      <u/>
      <sz val="72"/>
      <color theme="1"/>
      <name val="Segoe UI"/>
      <family val="2"/>
    </font>
    <font>
      <sz val="22"/>
      <color theme="4" tint="-0.499984740745262"/>
      <name val="Segoe UI Light"/>
      <family val="2"/>
    </font>
    <font>
      <sz val="10"/>
      <color theme="0" tint="-0.499984740745262"/>
      <name val="Segoe UI"/>
      <family val="2"/>
    </font>
    <font>
      <sz val="11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24"/>
      <color theme="1"/>
      <name val="Segoe UI Light"/>
      <family val="2"/>
    </font>
    <font>
      <sz val="9"/>
      <color theme="1"/>
      <name val="Segoe UI"/>
      <family val="2"/>
    </font>
    <font>
      <sz val="9"/>
      <color theme="1" tint="4.9989318521683403E-2"/>
      <name val="Segoe UI Semibold"/>
      <family val="2"/>
    </font>
    <font>
      <sz val="10"/>
      <color theme="1"/>
      <name val="Segoe UI Light"/>
      <family val="2"/>
    </font>
    <font>
      <sz val="16"/>
      <color theme="1"/>
      <name val="Segoe UI Light"/>
      <family val="2"/>
    </font>
    <font>
      <sz val="10"/>
      <color theme="1" tint="4.9989318521683403E-2"/>
      <name val="Segoe UI Semibold"/>
      <family val="2"/>
    </font>
    <font>
      <b/>
      <sz val="10"/>
      <color theme="1" tint="4.9989318521683403E-2"/>
      <name val="Segoe UI Semibold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14999847407452621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3" fillId="3" borderId="0" xfId="0" applyFont="1" applyFill="1"/>
    <xf numFmtId="0" fontId="2" fillId="3" borderId="0" xfId="0" applyFont="1" applyFill="1"/>
    <xf numFmtId="0" fontId="2" fillId="3" borderId="5" xfId="0" applyFont="1" applyFill="1" applyBorder="1"/>
    <xf numFmtId="0" fontId="2" fillId="2" borderId="4" xfId="0" applyFont="1" applyFill="1" applyBorder="1"/>
    <xf numFmtId="0" fontId="2" fillId="2" borderId="0" xfId="0" applyFont="1" applyFill="1"/>
    <xf numFmtId="0" fontId="2" fillId="0" borderId="0" xfId="0" applyFont="1"/>
    <xf numFmtId="164" fontId="1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horizontal="right"/>
    </xf>
    <xf numFmtId="0" fontId="8" fillId="3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9" fillId="2" borderId="0" xfId="0" applyFont="1" applyFill="1" applyBorder="1"/>
    <xf numFmtId="0" fontId="10" fillId="0" borderId="0" xfId="0" applyFont="1"/>
    <xf numFmtId="0" fontId="10" fillId="0" borderId="0" xfId="0" quotePrefix="1" applyFo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justify" vertical="top" wrapText="1"/>
    </xf>
    <xf numFmtId="0" fontId="2" fillId="2" borderId="0" xfId="0" applyFont="1" applyFill="1" applyBorder="1"/>
    <xf numFmtId="0" fontId="2" fillId="2" borderId="0" xfId="0" applyFont="1" applyFill="1" applyBorder="1" applyAlignment="1"/>
    <xf numFmtId="0" fontId="2" fillId="2" borderId="6" xfId="0" applyFont="1" applyFill="1" applyBorder="1" applyAlignment="1"/>
    <xf numFmtId="0" fontId="0" fillId="0" borderId="0" xfId="0" applyFill="1" applyAlignment="1">
      <alignment horizontal="center" wrapText="1"/>
    </xf>
    <xf numFmtId="0" fontId="0" fillId="0" borderId="0" xfId="0" applyFill="1"/>
    <xf numFmtId="0" fontId="0" fillId="0" borderId="6" xfId="0" applyFill="1" applyBorder="1" applyAlignment="1">
      <alignment horizontal="center" wrapText="1"/>
    </xf>
    <xf numFmtId="0" fontId="2" fillId="2" borderId="0" xfId="0" quotePrefix="1" applyFont="1" applyFill="1" applyBorder="1" applyAlignment="1"/>
    <xf numFmtId="0" fontId="0" fillId="2" borderId="0" xfId="0" applyFill="1"/>
    <xf numFmtId="0" fontId="10" fillId="2" borderId="0" xfId="0" applyFont="1" applyFill="1"/>
    <xf numFmtId="0" fontId="10" fillId="2" borderId="7" xfId="0" applyFont="1" applyFill="1" applyBorder="1"/>
    <xf numFmtId="0" fontId="0" fillId="2" borderId="7" xfId="0" applyFill="1" applyBorder="1"/>
    <xf numFmtId="0" fontId="12" fillId="0" borderId="7" xfId="0" applyFont="1" applyFill="1" applyBorder="1" applyAlignment="1">
      <alignment horizontal="center" wrapText="1"/>
    </xf>
    <xf numFmtId="0" fontId="11" fillId="2" borderId="2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0" xfId="0" applyFill="1" applyBorder="1"/>
    <xf numFmtId="0" fontId="15" fillId="2" borderId="0" xfId="0" applyFont="1" applyFill="1" applyBorder="1" applyAlignment="1"/>
    <xf numFmtId="0" fontId="0" fillId="0" borderId="0" xfId="0" applyBorder="1"/>
    <xf numFmtId="0" fontId="16" fillId="2" borderId="0" xfId="0" applyFont="1" applyFill="1" applyBorder="1"/>
    <xf numFmtId="0" fontId="17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7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9" fillId="2" borderId="0" xfId="0" applyFont="1" applyFill="1" applyBorder="1" applyAlignment="1">
      <alignment vertical="top" wrapText="1"/>
    </xf>
    <xf numFmtId="0" fontId="11" fillId="2" borderId="2" xfId="0" quotePrefix="1" applyFont="1" applyFill="1" applyBorder="1" applyAlignment="1">
      <alignment vertical="top" wrapText="1"/>
    </xf>
    <xf numFmtId="0" fontId="0" fillId="0" borderId="0" xfId="0" applyFill="1" applyBorder="1"/>
    <xf numFmtId="0" fontId="11" fillId="2" borderId="9" xfId="0" quotePrefix="1" applyFont="1" applyFill="1" applyBorder="1" applyAlignment="1">
      <alignment vertical="top" wrapText="1"/>
    </xf>
    <xf numFmtId="0" fontId="11" fillId="2" borderId="9" xfId="0" quotePrefix="1" applyFont="1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wrapText="1"/>
    </xf>
    <xf numFmtId="0" fontId="18" fillId="2" borderId="0" xfId="0" applyFont="1" applyFill="1" applyBorder="1" applyAlignment="1">
      <alignment horizontal="left" wrapText="1"/>
    </xf>
    <xf numFmtId="0" fontId="14" fillId="2" borderId="0" xfId="0" applyFont="1" applyFill="1" applyAlignment="1">
      <alignment horizontal="left"/>
    </xf>
    <xf numFmtId="0" fontId="19" fillId="2" borderId="0" xfId="0" applyFont="1" applyFill="1" applyBorder="1" applyAlignment="1">
      <alignment horizontal="left" vertical="top" wrapText="1"/>
    </xf>
    <xf numFmtId="0" fontId="19" fillId="2" borderId="14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wrapText="1"/>
    </xf>
    <xf numFmtId="0" fontId="2" fillId="2" borderId="8" xfId="0" applyFont="1" applyFill="1" applyBorder="1" applyAlignment="1">
      <alignment horizontal="left" vertical="top" wrapText="1"/>
    </xf>
    <xf numFmtId="0" fontId="2" fillId="2" borderId="9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2" fillId="2" borderId="4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 wrapText="1"/>
    </xf>
    <xf numFmtId="0" fontId="2" fillId="2" borderId="5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3" xfId="0" applyFont="1" applyFill="1" applyBorder="1" applyAlignment="1">
      <alignment horizontal="left" vertical="top" wrapText="1"/>
    </xf>
    <xf numFmtId="0" fontId="7" fillId="3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</cellXfs>
  <cellStyles count="1">
    <cellStyle name="Normal" xfId="0" builtinId="0"/>
  </cellStyles>
  <dxfs count="9"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FFFFFF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22" fmlaLink="Database.CurrentIndex" fmlaRange="Database.CountryNameList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38100</xdr:rowOff>
    </xdr:from>
    <xdr:to>
      <xdr:col>1</xdr:col>
      <xdr:colOff>1085850</xdr:colOff>
      <xdr:row>8</xdr:row>
      <xdr:rowOff>0</xdr:rowOff>
    </xdr:to>
    <xdr:sp macro="[0]!Wizard.InsertNewRecord" textlink="">
      <xdr:nvSpPr>
        <xdr:cNvPr id="2" name="Rectangle 1"/>
        <xdr:cNvSpPr/>
      </xdr:nvSpPr>
      <xdr:spPr>
        <a:xfrm>
          <a:off x="266700" y="161925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INSERT</a:t>
          </a:r>
          <a:r>
            <a:rPr lang="en-US" sz="1100" b="1" baseline="0">
              <a:solidFill>
                <a:sysClr val="windowText" lastClr="000000"/>
              </a:solidFill>
            </a:rPr>
            <a:t>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19</xdr:row>
      <xdr:rowOff>95250</xdr:rowOff>
    </xdr:from>
    <xdr:to>
      <xdr:col>2</xdr:col>
      <xdr:colOff>0</xdr:colOff>
      <xdr:row>21</xdr:row>
      <xdr:rowOff>57150</xdr:rowOff>
    </xdr:to>
    <xdr:sp macro="[0]!Wizard.EditSelectedRecord" textlink="">
      <xdr:nvSpPr>
        <xdr:cNvPr id="5" name="Rectangle 4"/>
        <xdr:cNvSpPr/>
      </xdr:nvSpPr>
      <xdr:spPr>
        <a:xfrm>
          <a:off x="285750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EDIT</a:t>
          </a:r>
          <a:endParaRPr lang="en-U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228600</xdr:colOff>
      <xdr:row>19</xdr:row>
      <xdr:rowOff>95250</xdr:rowOff>
    </xdr:from>
    <xdr:to>
      <xdr:col>3</xdr:col>
      <xdr:colOff>685800</xdr:colOff>
      <xdr:row>21</xdr:row>
      <xdr:rowOff>57150</xdr:rowOff>
    </xdr:to>
    <xdr:sp macro="[0]!Wizard.DeleteSelectedRecord" textlink="">
      <xdr:nvSpPr>
        <xdr:cNvPr id="6" name="Rectangle 5"/>
        <xdr:cNvSpPr/>
      </xdr:nvSpPr>
      <xdr:spPr>
        <a:xfrm>
          <a:off x="1590675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ysClr val="windowText" lastClr="000000"/>
              </a:solidFill>
            </a:rPr>
            <a:t>DELETE</a:t>
          </a:r>
        </a:p>
      </xdr:txBody>
    </xdr:sp>
    <xdr:clientData/>
  </xdr:twoCellAnchor>
  <xdr:twoCellAnchor>
    <xdr:from>
      <xdr:col>5</xdr:col>
      <xdr:colOff>638175</xdr:colOff>
      <xdr:row>19</xdr:row>
      <xdr:rowOff>95250</xdr:rowOff>
    </xdr:from>
    <xdr:to>
      <xdr:col>7</xdr:col>
      <xdr:colOff>400050</xdr:colOff>
      <xdr:row>21</xdr:row>
      <xdr:rowOff>57150</xdr:rowOff>
    </xdr:to>
    <xdr:sp macro="[0]!Welcome.GoToAnalysis" textlink="">
      <xdr:nvSpPr>
        <xdr:cNvPr id="7" name="Rectangle 6"/>
        <xdr:cNvSpPr/>
      </xdr:nvSpPr>
      <xdr:spPr>
        <a:xfrm>
          <a:off x="3905250" y="4152900"/>
          <a:ext cx="12668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VIEW</a:t>
          </a:r>
          <a:r>
            <a:rPr lang="en-US" sz="1100" b="1" baseline="0">
              <a:solidFill>
                <a:sysClr val="windowText" lastClr="000000"/>
              </a:solidFill>
            </a:rPr>
            <a:t> ANALYSIS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1400175</xdr:colOff>
      <xdr:row>10</xdr:row>
      <xdr:rowOff>0</xdr:rowOff>
    </xdr:from>
    <xdr:to>
      <xdr:col>1</xdr:col>
      <xdr:colOff>2012157</xdr:colOff>
      <xdr:row>11</xdr:row>
      <xdr:rowOff>0</xdr:rowOff>
    </xdr:to>
    <xdr:sp macro="[0]!Wizard.GoNext" textlink="">
      <xdr:nvSpPr>
        <xdr:cNvPr id="2" name="Rectangle 1"/>
        <xdr:cNvSpPr/>
      </xdr:nvSpPr>
      <xdr:spPr>
        <a:xfrm>
          <a:off x="16573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Next &gt;</a:t>
          </a:r>
        </a:p>
      </xdr:txBody>
    </xdr:sp>
    <xdr:clientData/>
  </xdr:twoCellAnchor>
  <xdr:twoCellAnchor editAs="absolute">
    <xdr:from>
      <xdr:col>1</xdr:col>
      <xdr:colOff>714375</xdr:colOff>
      <xdr:row>10</xdr:row>
      <xdr:rowOff>0</xdr:rowOff>
    </xdr:from>
    <xdr:to>
      <xdr:col>1</xdr:col>
      <xdr:colOff>1323975</xdr:colOff>
      <xdr:row>11</xdr:row>
      <xdr:rowOff>0</xdr:rowOff>
    </xdr:to>
    <xdr:sp macro="[0]!Wizard.GoPrevious" textlink="">
      <xdr:nvSpPr>
        <xdr:cNvPr id="3" name="Rectangle 2"/>
        <xdr:cNvSpPr/>
      </xdr:nvSpPr>
      <xdr:spPr>
        <a:xfrm>
          <a:off x="9715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&lt;</a:t>
          </a:r>
          <a:r>
            <a:rPr lang="en-US" sz="1000" b="1" baseline="0">
              <a:solidFill>
                <a:schemeClr val="tx1"/>
              </a:solidFill>
            </a:rPr>
            <a:t> </a:t>
          </a:r>
          <a:r>
            <a:rPr lang="en-US" sz="1000" b="1">
              <a:solidFill>
                <a:schemeClr val="tx1"/>
              </a:solidFill>
            </a:rPr>
            <a:t>Back</a:t>
          </a:r>
        </a:p>
      </xdr:txBody>
    </xdr:sp>
    <xdr:clientData/>
  </xdr:twoCellAnchor>
  <xdr:twoCellAnchor>
    <xdr:from>
      <xdr:col>18</xdr:col>
      <xdr:colOff>0</xdr:colOff>
      <xdr:row>5</xdr:row>
      <xdr:rowOff>76200</xdr:rowOff>
    </xdr:from>
    <xdr:to>
      <xdr:col>22</xdr:col>
      <xdr:colOff>0</xdr:colOff>
      <xdr:row>6</xdr:row>
      <xdr:rowOff>180975</xdr:rowOff>
    </xdr:to>
    <xdr:sp macro="[0]!Wizard.SaveAndStartNew" textlink="">
      <xdr:nvSpPr>
        <xdr:cNvPr id="6" name="Rounded Rectangle 5"/>
        <xdr:cNvSpPr/>
      </xdr:nvSpPr>
      <xdr:spPr>
        <a:xfrm>
          <a:off x="3686175" y="1238250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START NEW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7</xdr:row>
      <xdr:rowOff>104775</xdr:rowOff>
    </xdr:from>
    <xdr:to>
      <xdr:col>22</xdr:col>
      <xdr:colOff>0</xdr:colOff>
      <xdr:row>8</xdr:row>
      <xdr:rowOff>200025</xdr:rowOff>
    </xdr:to>
    <xdr:sp macro="[0]!Wizard.SaveAndGoBackToMenu" textlink="">
      <xdr:nvSpPr>
        <xdr:cNvPr id="7" name="Rounded Rectangle 6"/>
        <xdr:cNvSpPr/>
      </xdr:nvSpPr>
      <xdr:spPr>
        <a:xfrm>
          <a:off x="3686175" y="16859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GO BACK TO MENU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9</xdr:row>
      <xdr:rowOff>123825</xdr:rowOff>
    </xdr:from>
    <xdr:to>
      <xdr:col>22</xdr:col>
      <xdr:colOff>0</xdr:colOff>
      <xdr:row>11</xdr:row>
      <xdr:rowOff>0</xdr:rowOff>
    </xdr:to>
    <xdr:sp macro="[0]!Wizard.GoToMenu" textlink="">
      <xdr:nvSpPr>
        <xdr:cNvPr id="8" name="Rounded Rectangle 7"/>
        <xdr:cNvSpPr/>
      </xdr:nvSpPr>
      <xdr:spPr>
        <a:xfrm>
          <a:off x="3686175" y="21431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CANCEL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Database" displayName="Database" ref="A8:H14" headerRowDxfId="2" headerRowBorderDxfId="1" tableBorderDxfId="0">
  <autoFilter ref="A8:H14"/>
  <sortState ref="A9:H47">
    <sortCondition ref="B8:B47"/>
    <sortCondition ref="B9:B47"/>
  </sortState>
  <tableColumns count="8">
    <tableColumn id="1" name="Country Id"/>
    <tableColumn id="2" name="Country Name"/>
    <tableColumn id="3" name="County Comment"/>
    <tableColumn id="4" name="Health Level" totalsRowFunction="custom">
      <totalsRowFormula>RANDBETWEEN(1,10)</totalsRowFormula>
    </tableColumn>
    <tableColumn id="5" name="Responsiveness" totalsRowFunction="custom">
      <totalsRowFormula>RANDBETWEEN(1,10)</totalsRowFormula>
    </tableColumn>
    <tableColumn id="6" name="Financial Fairness" totalsRowFunction="custom">
      <totalsRowFormula>RANDBETWEEN(1,10)</totalsRowFormula>
    </tableColumn>
    <tableColumn id="7" name="Health Distribution" totalsRowFunction="custom">
      <totalsRowFormula>RANDBETWEEN(1,10)</totalsRowFormula>
    </tableColumn>
    <tableColumn id="8" name="Responsiveness Distribution" totalsRowFunction="custom">
      <totalsRowFormula>RANDBETWEEN(1,10)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lcome"/>
  <dimension ref="A1:L24"/>
  <sheetViews>
    <sheetView tabSelected="1" workbookViewId="0">
      <selection activeCell="L2" sqref="L2"/>
    </sheetView>
  </sheetViews>
  <sheetFormatPr defaultColWidth="0" defaultRowHeight="15" zeroHeight="1" x14ac:dyDescent="0.25"/>
  <cols>
    <col min="1" max="1" width="3.85546875" customWidth="1"/>
    <col min="2" max="2" width="16.5703125" customWidth="1"/>
    <col min="3" max="3" width="9.28515625" customWidth="1"/>
    <col min="4" max="4" width="11.5703125" customWidth="1"/>
    <col min="5" max="5" width="7.7109375" bestFit="1" customWidth="1"/>
    <col min="6" max="6" width="9.85546875" bestFit="1" customWidth="1"/>
    <col min="7" max="7" width="12.7109375" bestFit="1" customWidth="1"/>
    <col min="8" max="8" width="6.7109375" bestFit="1" customWidth="1"/>
    <col min="9" max="12" width="9.140625" customWidth="1"/>
    <col min="13" max="16384" width="9.140625" hidden="1"/>
  </cols>
  <sheetData>
    <row r="1" spans="1:12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 ht="39" customHeight="1" x14ac:dyDescent="0.7">
      <c r="A2" s="23"/>
      <c r="B2" s="45" t="s">
        <v>23</v>
      </c>
      <c r="C2" s="45"/>
      <c r="D2" s="45"/>
      <c r="E2" s="45"/>
      <c r="F2" s="45"/>
      <c r="G2" s="45"/>
      <c r="H2" s="45"/>
      <c r="I2" s="23"/>
      <c r="J2" s="23"/>
      <c r="K2" s="23"/>
      <c r="L2" s="23"/>
    </row>
    <row r="3" spans="1:12" x14ac:dyDescent="0.25">
      <c r="A3" s="30"/>
      <c r="B3" s="31"/>
      <c r="C3" s="31"/>
      <c r="D3" s="31"/>
      <c r="E3" s="31"/>
      <c r="F3" s="31"/>
      <c r="G3" s="31"/>
      <c r="H3" s="30"/>
      <c r="I3" s="30"/>
      <c r="J3" s="30"/>
      <c r="K3" s="23"/>
      <c r="L3" s="23"/>
    </row>
    <row r="4" spans="1:12" ht="25.5" x14ac:dyDescent="0.5">
      <c r="A4" s="30"/>
      <c r="B4" s="44" t="s">
        <v>30</v>
      </c>
      <c r="C4" s="44"/>
      <c r="D4" s="44"/>
      <c r="E4" s="44"/>
      <c r="F4" s="44"/>
      <c r="G4" s="44"/>
      <c r="H4" s="43"/>
      <c r="I4" s="43"/>
      <c r="J4" s="32"/>
      <c r="K4" s="23"/>
      <c r="L4" s="23"/>
    </row>
    <row r="5" spans="1:12" ht="15" customHeight="1" x14ac:dyDescent="0.25">
      <c r="A5" s="30"/>
      <c r="B5" s="47" t="s">
        <v>29</v>
      </c>
      <c r="C5" s="47"/>
      <c r="D5" s="47"/>
      <c r="E5" s="47"/>
      <c r="F5" s="47"/>
      <c r="G5" s="36"/>
      <c r="H5" s="37"/>
      <c r="I5" s="35"/>
      <c r="J5" s="30"/>
      <c r="K5" s="23"/>
      <c r="L5" s="23"/>
    </row>
    <row r="6" spans="1:12" x14ac:dyDescent="0.25">
      <c r="A6" s="30"/>
      <c r="B6" s="46"/>
      <c r="C6" s="46"/>
      <c r="D6" s="46"/>
      <c r="E6" s="46"/>
      <c r="F6" s="46"/>
      <c r="G6" s="34"/>
      <c r="H6" s="35"/>
      <c r="I6" s="35"/>
      <c r="J6" s="30"/>
      <c r="K6" s="23"/>
      <c r="L6" s="23"/>
    </row>
    <row r="7" spans="1:12" x14ac:dyDescent="0.25">
      <c r="A7" s="30"/>
      <c r="B7" s="38"/>
      <c r="C7" s="38"/>
      <c r="D7" s="38"/>
      <c r="E7" s="38"/>
      <c r="F7" s="38"/>
      <c r="G7" s="34"/>
      <c r="H7" s="35"/>
      <c r="I7" s="35"/>
      <c r="J7" s="30"/>
      <c r="K7" s="23"/>
      <c r="L7" s="23"/>
    </row>
    <row r="8" spans="1:12" x14ac:dyDescent="0.25">
      <c r="A8" s="30"/>
      <c r="B8" s="38"/>
      <c r="C8" s="38"/>
      <c r="D8" s="38"/>
      <c r="E8" s="38"/>
      <c r="F8" s="38"/>
      <c r="G8" s="34"/>
      <c r="H8" s="35"/>
      <c r="I8" s="35"/>
      <c r="J8" s="30"/>
      <c r="K8" s="23"/>
      <c r="L8" s="23"/>
    </row>
    <row r="9" spans="1:12" x14ac:dyDescent="0.25">
      <c r="A9" s="30"/>
      <c r="B9" s="33"/>
      <c r="C9" s="34"/>
      <c r="D9" s="34"/>
      <c r="E9" s="34"/>
      <c r="F9" s="34"/>
      <c r="G9" s="34"/>
      <c r="H9" s="35"/>
      <c r="I9" s="35"/>
      <c r="J9" s="30"/>
      <c r="K9" s="23"/>
      <c r="L9" s="23"/>
    </row>
    <row r="10" spans="1:12" x14ac:dyDescent="0.25">
      <c r="A10" s="30"/>
      <c r="B10" s="46" t="s">
        <v>31</v>
      </c>
      <c r="C10" s="46"/>
      <c r="D10" s="46"/>
      <c r="E10" s="46"/>
      <c r="F10" s="46"/>
      <c r="G10" s="34"/>
      <c r="H10" s="35"/>
      <c r="I10" s="35"/>
      <c r="J10" s="30"/>
      <c r="K10" s="23"/>
      <c r="L10" s="23"/>
    </row>
    <row r="11" spans="1:12" x14ac:dyDescent="0.25">
      <c r="A11" s="30"/>
      <c r="B11" s="46"/>
      <c r="C11" s="46"/>
      <c r="D11" s="46"/>
      <c r="E11" s="46"/>
      <c r="F11" s="46"/>
      <c r="G11" s="34"/>
      <c r="H11" s="35"/>
      <c r="I11" s="35"/>
      <c r="J11" s="30"/>
      <c r="K11" s="23"/>
      <c r="L11" s="23"/>
    </row>
    <row r="12" spans="1:12" x14ac:dyDescent="0.25">
      <c r="A12" s="30"/>
      <c r="B12" s="46"/>
      <c r="C12" s="46"/>
      <c r="D12" s="46"/>
      <c r="E12" s="46"/>
      <c r="F12" s="46"/>
      <c r="G12" s="34"/>
      <c r="H12" s="35"/>
      <c r="I12" s="35"/>
      <c r="J12" s="30"/>
      <c r="K12" s="23"/>
      <c r="L12" s="23"/>
    </row>
    <row r="13" spans="1:12" x14ac:dyDescent="0.25">
      <c r="A13" s="30"/>
      <c r="B13" s="46"/>
      <c r="C13" s="46"/>
      <c r="D13" s="46"/>
      <c r="E13" s="46"/>
      <c r="F13" s="46"/>
      <c r="G13" s="34"/>
      <c r="H13" s="30"/>
      <c r="I13" s="30"/>
      <c r="J13" s="30"/>
      <c r="K13" s="23"/>
      <c r="L13" s="23"/>
    </row>
    <row r="14" spans="1:12" x14ac:dyDescent="0.25">
      <c r="A14" s="30"/>
      <c r="B14" s="33"/>
      <c r="C14" s="34"/>
      <c r="D14" s="34"/>
      <c r="E14" s="34"/>
      <c r="F14" s="34"/>
      <c r="G14" s="34"/>
      <c r="H14" s="30"/>
      <c r="I14" s="30"/>
      <c r="J14" s="30"/>
      <c r="K14" s="23"/>
      <c r="L14" s="23"/>
    </row>
    <row r="15" spans="1:12" x14ac:dyDescent="0.25">
      <c r="A15" s="30"/>
      <c r="B15" s="33"/>
      <c r="C15" s="34"/>
      <c r="D15" s="34"/>
      <c r="E15" s="34"/>
      <c r="F15" s="34"/>
      <c r="G15" s="34"/>
      <c r="H15" s="30"/>
      <c r="I15" s="30"/>
      <c r="J15" s="30"/>
      <c r="K15" s="23"/>
      <c r="L15" s="23"/>
    </row>
    <row r="16" spans="1:12" x14ac:dyDescent="0.25">
      <c r="A16" s="30"/>
      <c r="B16" s="33"/>
      <c r="C16" s="34"/>
      <c r="D16" s="34"/>
      <c r="E16" s="34"/>
      <c r="F16" s="34"/>
      <c r="G16" s="34"/>
      <c r="H16" s="30"/>
      <c r="I16" s="30"/>
      <c r="J16" s="30"/>
      <c r="K16" s="23"/>
      <c r="L16" s="23"/>
    </row>
    <row r="17" spans="1:12" x14ac:dyDescent="0.25">
      <c r="A17" s="30"/>
      <c r="B17" s="33"/>
      <c r="C17" s="34"/>
      <c r="D17" s="34"/>
      <c r="E17" s="34"/>
      <c r="F17" s="34"/>
      <c r="G17" s="34"/>
      <c r="H17" s="30"/>
      <c r="I17" s="30"/>
      <c r="J17" s="30"/>
      <c r="K17" s="23"/>
      <c r="L17" s="23"/>
    </row>
    <row r="18" spans="1:12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23"/>
      <c r="L18" s="23"/>
    </row>
    <row r="19" spans="1:12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</row>
    <row r="20" spans="1:12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</row>
    <row r="21" spans="1:12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</row>
    <row r="22" spans="1:12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</row>
    <row r="23" spans="1:12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</row>
    <row r="24" spans="1:12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</row>
  </sheetData>
  <mergeCells count="5">
    <mergeCell ref="H4:I4"/>
    <mergeCell ref="B4:G4"/>
    <mergeCell ref="B2:H2"/>
    <mergeCell ref="B10:F13"/>
    <mergeCell ref="B5:F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ist Box 1">
              <controlPr defaultSize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zard"/>
  <dimension ref="A1:AE23"/>
  <sheetViews>
    <sheetView zoomScaleNormal="100" workbookViewId="0">
      <selection activeCell="G4" sqref="G4:I4"/>
    </sheetView>
  </sheetViews>
  <sheetFormatPr defaultColWidth="0" defaultRowHeight="17.25" zeroHeight="1" x14ac:dyDescent="0.3"/>
  <cols>
    <col min="1" max="1" width="6.5703125" style="2" customWidth="1"/>
    <col min="2" max="2" width="37.140625" style="1" customWidth="1"/>
    <col min="3" max="3" width="2.42578125" style="3" customWidth="1"/>
    <col min="4" max="4" width="3.28515625" style="4" customWidth="1"/>
    <col min="5" max="5" width="9.140625" style="5" customWidth="1"/>
    <col min="6" max="6" width="15.42578125" style="5" customWidth="1"/>
    <col min="7" max="8" width="9.140625" style="5" customWidth="1"/>
    <col min="9" max="9" width="15.28515625" style="5" customWidth="1"/>
    <col min="10" max="10" width="1.7109375" style="5" customWidth="1"/>
    <col min="11" max="11" width="2.5703125" style="5" hidden="1" customWidth="1"/>
    <col min="12" max="13" width="9.140625" style="5" hidden="1" customWidth="1"/>
    <col min="14" max="14" width="12.7109375" style="5" hidden="1" customWidth="1"/>
    <col min="15" max="15" width="9.140625" style="5" hidden="1" customWidth="1"/>
    <col min="16" max="16" width="12.42578125" style="5" hidden="1" customWidth="1"/>
    <col min="17" max="17" width="19.42578125" style="5" hidden="1" customWidth="1"/>
    <col min="18" max="22" width="9.140625" style="5" hidden="1" customWidth="1"/>
    <col min="23" max="23" width="18.7109375" style="5" hidden="1" customWidth="1"/>
    <col min="24" max="31" width="5.140625" style="5" customWidth="1"/>
    <col min="32" max="16384" width="5.140625" style="6" hidden="1"/>
  </cols>
  <sheetData>
    <row r="1" spans="1:31" x14ac:dyDescent="0.3"/>
    <row r="2" spans="1:31" ht="24" customHeight="1" x14ac:dyDescent="0.3">
      <c r="A2" s="59" t="s">
        <v>0</v>
      </c>
      <c r="B2" s="59"/>
      <c r="E2" s="48" t="str">
        <f>INDEX($B$4:$B$6,Helper.CurrentPageIndex,1)</f>
        <v>1. Introduction</v>
      </c>
      <c r="F2" s="48"/>
      <c r="G2" s="48"/>
      <c r="H2" s="48"/>
      <c r="L2" s="48" t="str">
        <f>INDEX(Wizard.StepRange,Helper.CurrentPageIndex,1)</f>
        <v>1. Introduction</v>
      </c>
      <c r="M2" s="48"/>
      <c r="N2" s="48"/>
      <c r="O2" s="48"/>
      <c r="S2" s="48" t="str">
        <f>INDEX($B$4:$B$6,Helper.CurrentPageIndex,1)</f>
        <v>1. Introduction</v>
      </c>
      <c r="T2" s="48"/>
      <c r="U2" s="48"/>
      <c r="V2" s="48"/>
      <c r="Y2" s="48"/>
      <c r="Z2" s="48"/>
      <c r="AA2" s="48"/>
      <c r="AB2" s="48"/>
    </row>
    <row r="3" spans="1:31" ht="17.25" customHeight="1" x14ac:dyDescent="0.3">
      <c r="Y3" s="10"/>
      <c r="Z3" s="10"/>
      <c r="AA3" s="10"/>
      <c r="AB3" s="10"/>
      <c r="AC3" s="10"/>
      <c r="AD3" s="10"/>
      <c r="AE3" s="10"/>
    </row>
    <row r="4" spans="1:31" ht="16.5" customHeight="1" x14ac:dyDescent="0.3">
      <c r="A4" s="7">
        <f>--(--LEFT(B4,1)=Helper.CurrentPageIndex)</f>
        <v>1</v>
      </c>
      <c r="B4" s="9" t="s">
        <v>3</v>
      </c>
      <c r="E4" s="60" t="s">
        <v>9</v>
      </c>
      <c r="F4" s="60"/>
      <c r="G4" s="62"/>
      <c r="H4" s="63"/>
      <c r="I4" s="64"/>
      <c r="L4" s="17" t="s">
        <v>12</v>
      </c>
      <c r="M4" s="17"/>
      <c r="N4" s="17"/>
      <c r="O4" s="18"/>
      <c r="P4" s="22" t="s">
        <v>22</v>
      </c>
      <c r="S4" s="5" t="s">
        <v>21</v>
      </c>
      <c r="Y4" s="10"/>
      <c r="Z4" s="10"/>
      <c r="AA4" s="10"/>
      <c r="AB4" s="10"/>
      <c r="AC4" s="10"/>
      <c r="AD4" s="10"/>
      <c r="AE4" s="10"/>
    </row>
    <row r="5" spans="1:31" ht="16.5" customHeight="1" x14ac:dyDescent="0.3">
      <c r="A5" s="7">
        <f>--(--LEFT(B5,1)=Helper.CurrentPageIndex)</f>
        <v>0</v>
      </c>
      <c r="B5" s="9" t="s">
        <v>7</v>
      </c>
      <c r="L5" s="16"/>
      <c r="M5" s="17"/>
      <c r="N5" s="17"/>
      <c r="O5" s="17"/>
      <c r="P5" s="17"/>
      <c r="Y5" s="10"/>
      <c r="Z5" s="10"/>
      <c r="AA5" s="10"/>
      <c r="AB5" s="10"/>
      <c r="AC5" s="10"/>
      <c r="AD5" s="10"/>
      <c r="AE5" s="10"/>
    </row>
    <row r="6" spans="1:31" ht="16.5" customHeight="1" x14ac:dyDescent="0.3">
      <c r="A6" s="7">
        <f>--(--LEFT(B6,1)=Helper.CurrentPageIndex)</f>
        <v>0</v>
      </c>
      <c r="B6" s="9" t="s">
        <v>8</v>
      </c>
      <c r="E6" s="61" t="s">
        <v>4</v>
      </c>
      <c r="F6" s="61"/>
      <c r="G6" s="50"/>
      <c r="H6" s="51"/>
      <c r="I6" s="52"/>
      <c r="L6" s="17" t="s">
        <v>13</v>
      </c>
      <c r="M6" s="17"/>
      <c r="N6" s="17"/>
      <c r="O6" s="18"/>
      <c r="P6" s="22" t="s">
        <v>22</v>
      </c>
      <c r="Y6" s="10"/>
      <c r="Z6" s="10"/>
      <c r="AA6" s="10"/>
      <c r="AB6" s="10"/>
      <c r="AC6" s="10"/>
      <c r="AD6" s="10"/>
      <c r="AE6" s="10"/>
    </row>
    <row r="7" spans="1:31" ht="16.5" customHeight="1" x14ac:dyDescent="0.3">
      <c r="E7" s="16"/>
      <c r="F7" s="16"/>
      <c r="G7" s="53"/>
      <c r="H7" s="54"/>
      <c r="I7" s="55"/>
      <c r="L7" s="16"/>
      <c r="M7" s="17"/>
      <c r="N7" s="17"/>
      <c r="O7" s="17"/>
      <c r="P7" s="17"/>
      <c r="Y7" s="10"/>
      <c r="Z7" s="10"/>
      <c r="AA7" s="10"/>
      <c r="AB7" s="10"/>
      <c r="AC7" s="10"/>
      <c r="AD7" s="10"/>
      <c r="AE7" s="10"/>
    </row>
    <row r="8" spans="1:31" x14ac:dyDescent="0.3">
      <c r="E8" s="61"/>
      <c r="F8" s="61"/>
      <c r="G8" s="53"/>
      <c r="H8" s="54"/>
      <c r="I8" s="55"/>
      <c r="L8" s="17" t="s">
        <v>14</v>
      </c>
      <c r="M8" s="17"/>
      <c r="N8" s="17"/>
      <c r="O8" s="18"/>
      <c r="P8" s="22" t="s">
        <v>22</v>
      </c>
    </row>
    <row r="9" spans="1:31" x14ac:dyDescent="0.3">
      <c r="G9" s="53"/>
      <c r="H9" s="54"/>
      <c r="I9" s="55"/>
      <c r="L9" s="16"/>
      <c r="M9" s="17"/>
      <c r="N9" s="17"/>
      <c r="O9" s="17"/>
      <c r="P9" s="17"/>
    </row>
    <row r="10" spans="1:31" x14ac:dyDescent="0.3">
      <c r="G10" s="53"/>
      <c r="H10" s="54"/>
      <c r="I10" s="55"/>
      <c r="L10" s="17" t="s">
        <v>11</v>
      </c>
      <c r="M10" s="17"/>
      <c r="N10" s="17"/>
      <c r="O10" s="18"/>
      <c r="P10" s="22" t="s">
        <v>22</v>
      </c>
    </row>
    <row r="11" spans="1:31" x14ac:dyDescent="0.3">
      <c r="G11" s="53"/>
      <c r="H11" s="54"/>
      <c r="I11" s="55"/>
      <c r="L11" s="16"/>
      <c r="M11" s="17"/>
      <c r="N11" s="17"/>
      <c r="O11" s="17"/>
      <c r="P11" s="17"/>
    </row>
    <row r="12" spans="1:31" x14ac:dyDescent="0.3">
      <c r="G12" s="53"/>
      <c r="H12" s="54"/>
      <c r="I12" s="55"/>
      <c r="L12" s="17" t="s">
        <v>10</v>
      </c>
      <c r="M12" s="17"/>
      <c r="N12" s="17"/>
      <c r="O12" s="18"/>
      <c r="P12" s="22" t="s">
        <v>22</v>
      </c>
    </row>
    <row r="13" spans="1:31" x14ac:dyDescent="0.3">
      <c r="B13" s="8" t="str">
        <f>"Page " &amp; Helper.CurrentPageIndex</f>
        <v>Page 1</v>
      </c>
      <c r="G13" s="53"/>
      <c r="H13" s="54"/>
      <c r="I13" s="55"/>
      <c r="L13" s="11"/>
      <c r="S13" s="49" t="s">
        <v>20</v>
      </c>
      <c r="T13" s="49"/>
      <c r="U13" s="49"/>
      <c r="V13" s="49"/>
    </row>
    <row r="14" spans="1:31" x14ac:dyDescent="0.3">
      <c r="G14" s="56"/>
      <c r="H14" s="57"/>
      <c r="I14" s="58"/>
      <c r="L14" s="11"/>
      <c r="S14" s="49"/>
      <c r="T14" s="49"/>
      <c r="U14" s="49"/>
      <c r="V14" s="49"/>
    </row>
    <row r="15" spans="1:31" x14ac:dyDescent="0.3">
      <c r="L15" s="11"/>
    </row>
    <row r="16" spans="1:31" x14ac:dyDescent="0.3">
      <c r="L16" s="11"/>
    </row>
    <row r="17" spans="12:12" x14ac:dyDescent="0.3">
      <c r="L17" s="11"/>
    </row>
    <row r="18" spans="12:12" x14ac:dyDescent="0.3">
      <c r="L18" s="11"/>
    </row>
    <row r="19" spans="12:12" x14ac:dyDescent="0.3">
      <c r="L19" s="11"/>
    </row>
    <row r="20" spans="12:12" x14ac:dyDescent="0.3">
      <c r="L20" s="11"/>
    </row>
    <row r="21" spans="12:12" x14ac:dyDescent="0.3"/>
    <row r="22" spans="12:12" x14ac:dyDescent="0.3"/>
    <row r="23" spans="12:12" x14ac:dyDescent="0.3"/>
  </sheetData>
  <mergeCells count="11">
    <mergeCell ref="A2:B2"/>
    <mergeCell ref="E2:H2"/>
    <mergeCell ref="E4:F4"/>
    <mergeCell ref="E6:F6"/>
    <mergeCell ref="E8:F8"/>
    <mergeCell ref="G4:I4"/>
    <mergeCell ref="Y2:AB2"/>
    <mergeCell ref="S13:V14"/>
    <mergeCell ref="G6:I14"/>
    <mergeCell ref="S2:V2"/>
    <mergeCell ref="L2:O2"/>
  </mergeCells>
  <conditionalFormatting sqref="B4:B6">
    <cfRule type="expression" dxfId="8" priority="6">
      <formula>($A4=1)</formula>
    </cfRule>
  </conditionalFormatting>
  <conditionalFormatting sqref="L4:L5 L7 L9 L11">
    <cfRule type="expression" dxfId="7" priority="9">
      <formula>($L13= TRUE)</formula>
    </cfRule>
  </conditionalFormatting>
  <conditionalFormatting sqref="L6">
    <cfRule type="expression" dxfId="6" priority="5">
      <formula>($L15= TRUE)</formula>
    </cfRule>
  </conditionalFormatting>
  <conditionalFormatting sqref="L12">
    <cfRule type="expression" dxfId="5" priority="1">
      <formula>($L21= TRUE)</formula>
    </cfRule>
  </conditionalFormatting>
  <conditionalFormatting sqref="L8">
    <cfRule type="expression" dxfId="4" priority="3">
      <formula>($L17= TRUE)</formula>
    </cfRule>
  </conditionalFormatting>
  <conditionalFormatting sqref="L10">
    <cfRule type="expression" dxfId="3" priority="2">
      <formula>($L19= TRUE)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base"/>
  <dimension ref="A1:M14"/>
  <sheetViews>
    <sheetView workbookViewId="0">
      <pane ySplit="8" topLeftCell="A9" activePane="bottomLeft" state="frozen"/>
      <selection pane="bottomLeft" activeCell="A2" sqref="A2"/>
    </sheetView>
  </sheetViews>
  <sheetFormatPr defaultRowHeight="15" x14ac:dyDescent="0.25"/>
  <cols>
    <col min="1" max="1" width="12.85546875" customWidth="1"/>
    <col min="2" max="2" width="20.42578125" customWidth="1"/>
    <col min="3" max="3" width="14.28515625" bestFit="1" customWidth="1"/>
    <col min="4" max="4" width="9.140625" customWidth="1"/>
    <col min="5" max="5" width="17.85546875" customWidth="1"/>
    <col min="6" max="6" width="11.42578125" customWidth="1"/>
    <col min="7" max="7" width="12.28515625" customWidth="1"/>
    <col min="8" max="8" width="15.5703125" customWidth="1"/>
    <col min="9" max="9" width="9.140625" customWidth="1"/>
  </cols>
  <sheetData>
    <row r="1" spans="1:13" ht="26.25" x14ac:dyDescent="0.25">
      <c r="A1" s="27" t="s">
        <v>18</v>
      </c>
      <c r="B1" s="27" t="s">
        <v>9</v>
      </c>
      <c r="C1" s="27" t="s">
        <v>19</v>
      </c>
      <c r="D1" s="27" t="s">
        <v>12</v>
      </c>
      <c r="E1" s="27" t="s">
        <v>13</v>
      </c>
      <c r="F1" s="27" t="s">
        <v>14</v>
      </c>
      <c r="G1" s="27" t="s">
        <v>11</v>
      </c>
      <c r="H1" s="27" t="s">
        <v>10</v>
      </c>
      <c r="I1" s="19"/>
      <c r="J1" s="19"/>
    </row>
    <row r="2" spans="1:13" ht="13.5" customHeight="1" x14ac:dyDescent="0.25">
      <c r="A2" s="28">
        <f>INDEX(Database[Country Id],Database.CurrentIndex)</f>
        <v>1</v>
      </c>
      <c r="B2" s="28">
        <f>Wizard.CountryName</f>
        <v>0</v>
      </c>
      <c r="C2" s="28">
        <f>Wizard.Comment</f>
        <v>0</v>
      </c>
      <c r="D2" s="28">
        <f>Wizard.HealthLevel</f>
        <v>0</v>
      </c>
      <c r="E2" s="28">
        <f>Wizard.Responsiveness</f>
        <v>0</v>
      </c>
      <c r="F2" s="28">
        <f>Wizard.FinancialFairness</f>
        <v>0</v>
      </c>
      <c r="G2" s="28">
        <f>Wizard.HealthDistribution</f>
        <v>0</v>
      </c>
      <c r="H2" s="29">
        <f>Wizard.ResponsivenessDistribution</f>
        <v>0</v>
      </c>
      <c r="I2" s="20"/>
      <c r="J2" s="20"/>
    </row>
    <row r="3" spans="1:13" ht="17.25" customHeight="1" x14ac:dyDescent="0.25">
      <c r="A3" s="23"/>
      <c r="B3" s="39"/>
      <c r="C3" s="41"/>
      <c r="D3" s="42"/>
      <c r="E3" s="42"/>
      <c r="F3" s="42"/>
      <c r="G3" s="42"/>
      <c r="H3" s="42"/>
      <c r="I3" s="40"/>
      <c r="J3" s="20"/>
    </row>
    <row r="4" spans="1:13" x14ac:dyDescent="0.25">
      <c r="A4" s="25" t="s">
        <v>16</v>
      </c>
      <c r="B4" s="26">
        <f>COUNT(Database[Country Id])</f>
        <v>6</v>
      </c>
      <c r="C4" s="30"/>
      <c r="D4" s="30"/>
      <c r="E4" s="30"/>
      <c r="F4" s="30"/>
      <c r="G4" s="30"/>
      <c r="H4" s="30"/>
      <c r="I4" s="20"/>
      <c r="J4" s="20"/>
    </row>
    <row r="5" spans="1:13" x14ac:dyDescent="0.25">
      <c r="A5" s="25" t="s">
        <v>33</v>
      </c>
      <c r="B5" s="26">
        <f>MAX(Database[Country Id])</f>
        <v>7</v>
      </c>
      <c r="C5" s="23"/>
      <c r="D5" s="23"/>
      <c r="E5" s="23"/>
      <c r="F5" s="23"/>
      <c r="G5" s="23"/>
      <c r="H5" s="23"/>
      <c r="I5" s="20"/>
      <c r="J5" s="20"/>
    </row>
    <row r="6" spans="1:13" x14ac:dyDescent="0.25">
      <c r="A6" s="25" t="s">
        <v>17</v>
      </c>
      <c r="B6" s="26">
        <v>1</v>
      </c>
      <c r="C6" s="23"/>
      <c r="D6" s="23"/>
      <c r="E6" s="23"/>
      <c r="F6" s="23"/>
      <c r="G6" s="23"/>
      <c r="H6" s="23"/>
      <c r="I6" s="20"/>
      <c r="J6" s="20"/>
    </row>
    <row r="7" spans="1:13" x14ac:dyDescent="0.25">
      <c r="A7" s="24"/>
      <c r="B7" s="23"/>
      <c r="C7" s="23"/>
      <c r="D7" s="23"/>
      <c r="E7" s="23"/>
      <c r="F7" s="23"/>
      <c r="G7" s="23"/>
      <c r="H7" s="23"/>
      <c r="I7" s="20"/>
      <c r="J7" s="20"/>
    </row>
    <row r="8" spans="1:13" ht="35.25" customHeight="1" x14ac:dyDescent="0.25">
      <c r="A8" s="21" t="s">
        <v>18</v>
      </c>
      <c r="B8" s="21" t="s">
        <v>9</v>
      </c>
      <c r="C8" s="21" t="s">
        <v>15</v>
      </c>
      <c r="D8" s="21" t="s">
        <v>12</v>
      </c>
      <c r="E8" s="21" t="s">
        <v>13</v>
      </c>
      <c r="F8" s="21" t="s">
        <v>14</v>
      </c>
      <c r="G8" s="21" t="s">
        <v>11</v>
      </c>
      <c r="H8" s="21" t="s">
        <v>10</v>
      </c>
      <c r="M8" t="s">
        <v>32</v>
      </c>
    </row>
    <row r="9" spans="1:13" x14ac:dyDescent="0.25">
      <c r="A9">
        <v>1</v>
      </c>
      <c r="B9" t="s">
        <v>27</v>
      </c>
      <c r="D9">
        <v>2</v>
      </c>
      <c r="E9">
        <v>2</v>
      </c>
      <c r="F9">
        <v>1</v>
      </c>
      <c r="G9">
        <v>8</v>
      </c>
      <c r="H9">
        <v>10</v>
      </c>
    </row>
    <row r="10" spans="1:13" x14ac:dyDescent="0.25">
      <c r="A10">
        <v>2</v>
      </c>
      <c r="B10" t="s">
        <v>25</v>
      </c>
      <c r="D10">
        <v>5</v>
      </c>
      <c r="E10">
        <v>9</v>
      </c>
      <c r="F10">
        <v>10</v>
      </c>
      <c r="G10">
        <v>10</v>
      </c>
      <c r="H10">
        <v>1</v>
      </c>
    </row>
    <row r="11" spans="1:13" x14ac:dyDescent="0.25">
      <c r="A11">
        <v>3</v>
      </c>
      <c r="B11" t="s">
        <v>26</v>
      </c>
      <c r="D11">
        <v>6</v>
      </c>
      <c r="E11">
        <v>2</v>
      </c>
      <c r="F11">
        <v>5</v>
      </c>
      <c r="G11">
        <v>6</v>
      </c>
      <c r="H11">
        <v>6</v>
      </c>
    </row>
    <row r="12" spans="1:13" x14ac:dyDescent="0.25">
      <c r="A12">
        <v>5</v>
      </c>
      <c r="B12" t="s">
        <v>28</v>
      </c>
      <c r="D12">
        <v>10</v>
      </c>
      <c r="E12">
        <v>1</v>
      </c>
      <c r="F12">
        <v>9</v>
      </c>
      <c r="G12">
        <v>7</v>
      </c>
      <c r="H12">
        <v>5</v>
      </c>
    </row>
    <row r="13" spans="1:13" x14ac:dyDescent="0.25">
      <c r="A13">
        <v>6</v>
      </c>
      <c r="B13" t="s">
        <v>24</v>
      </c>
      <c r="D13">
        <v>9</v>
      </c>
      <c r="E13">
        <v>2</v>
      </c>
      <c r="F13">
        <v>1</v>
      </c>
      <c r="G13">
        <v>1</v>
      </c>
      <c r="H13">
        <v>1</v>
      </c>
    </row>
    <row r="14" spans="1:13" x14ac:dyDescent="0.25">
      <c r="A14">
        <v>7</v>
      </c>
      <c r="B14" t="s">
        <v>34</v>
      </c>
      <c r="C14">
        <v>0</v>
      </c>
      <c r="D14">
        <v>5</v>
      </c>
      <c r="E14">
        <v>3</v>
      </c>
      <c r="F14">
        <v>2</v>
      </c>
      <c r="G14">
        <v>4</v>
      </c>
      <c r="H14"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alysis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er"/>
  <dimension ref="A1:C9"/>
  <sheetViews>
    <sheetView workbookViewId="0">
      <selection activeCell="B1" sqref="B1"/>
    </sheetView>
  </sheetViews>
  <sheetFormatPr defaultRowHeight="15" x14ac:dyDescent="0.25"/>
  <cols>
    <col min="1" max="1" width="31.7109375" customWidth="1"/>
  </cols>
  <sheetData>
    <row r="1" spans="1:3" x14ac:dyDescent="0.25">
      <c r="A1" t="s">
        <v>1</v>
      </c>
      <c r="B1">
        <v>1</v>
      </c>
      <c r="C1" s="13" t="s">
        <v>5</v>
      </c>
    </row>
    <row r="2" spans="1:3" x14ac:dyDescent="0.25">
      <c r="A2" t="s">
        <v>2</v>
      </c>
      <c r="B2">
        <v>3</v>
      </c>
      <c r="C2" s="12" t="s">
        <v>6</v>
      </c>
    </row>
    <row r="6" spans="1:3" x14ac:dyDescent="0.25">
      <c r="A6" s="14"/>
    </row>
    <row r="7" spans="1:3" x14ac:dyDescent="0.25">
      <c r="A7" s="15"/>
    </row>
    <row r="8" spans="1:3" x14ac:dyDescent="0.25">
      <c r="A8" s="15"/>
    </row>
    <row r="9" spans="1:3" x14ac:dyDescent="0.25">
      <c r="A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Welcome</vt:lpstr>
      <vt:lpstr>Wizard</vt:lpstr>
      <vt:lpstr>Database</vt:lpstr>
      <vt:lpstr>Analysis</vt:lpstr>
      <vt:lpstr>Helper</vt:lpstr>
      <vt:lpstr>Database.CurrentIndex</vt:lpstr>
      <vt:lpstr>Database.InputEntry</vt:lpstr>
      <vt:lpstr>Database.RecordCount</vt:lpstr>
      <vt:lpstr>Database.RecordMax</vt:lpstr>
      <vt:lpstr>Helper.CurrentPageIndex</vt:lpstr>
      <vt:lpstr>Helper.InstructionsTable</vt:lpstr>
      <vt:lpstr>Helper.TotalPages</vt:lpstr>
      <vt:lpstr>Wizard.Comment</vt:lpstr>
      <vt:lpstr>Wizard.CountryName</vt:lpstr>
      <vt:lpstr>Wizard.FinancialFairness</vt:lpstr>
      <vt:lpstr>Wizard.HealthDistribution</vt:lpstr>
      <vt:lpstr>Wizard.HealthLevel</vt:lpstr>
      <vt:lpstr>Wizard.Responsiveness</vt:lpstr>
      <vt:lpstr>Wizard.ResponsivenessDistribution</vt:lpstr>
      <vt:lpstr>Wizard.StepRange</vt:lpstr>
      <vt:lpstr>Wizard.View1</vt:lpstr>
      <vt:lpstr>Wizard.View1.FirstFocus</vt:lpstr>
      <vt:lpstr>Wizard.View2</vt:lpstr>
      <vt:lpstr>Wizard.View2.FirstFocus</vt:lpstr>
      <vt:lpstr>Wizard.View3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Jordan Goldmeier</cp:lastModifiedBy>
  <dcterms:created xsi:type="dcterms:W3CDTF">2013-10-17T18:42:23Z</dcterms:created>
  <dcterms:modified xsi:type="dcterms:W3CDTF">2014-10-21T20:54:17Z</dcterms:modified>
</cp:coreProperties>
</file>