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ocuments\Dashboards with Excel\Chapter 7 Pitfalls\"/>
    </mc:Choice>
  </mc:AlternateContent>
  <bookViews>
    <workbookView xWindow="0" yWindow="0" windowWidth="24000" windowHeight="9330"/>
  </bookViews>
  <sheets>
    <sheet name="Sheet1" sheetId="1" r:id="rId1"/>
    <sheet name="Sheet2" sheetId="2" r:id="rId2"/>
    <sheet name="Sheet3" sheetId="3" r:id="rId3"/>
  </sheets>
  <definedNames>
    <definedName name="FavoriteColor">Sheet2!$B$12</definedName>
    <definedName name="FirstName">Sheet2!$A$1</definedName>
    <definedName name="LastName">Sheet2!$E$8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3" l="1"/>
  <c r="F14" i="3"/>
  <c r="D11" i="3"/>
  <c r="B17" i="3"/>
  <c r="E14" i="2" l="1"/>
  <c r="C10" i="1"/>
  <c r="F6" i="1" a="1"/>
  <c r="G6" i="1" s="1"/>
  <c r="F6" i="1"/>
  <c r="D3" i="1"/>
  <c r="D4" i="1"/>
  <c r="D5" i="1"/>
  <c r="D6" i="1"/>
  <c r="D7" i="1"/>
  <c r="D8" i="1"/>
  <c r="D2" i="1"/>
  <c r="D10" i="1"/>
</calcChain>
</file>

<file path=xl/sharedStrings.xml><?xml version="1.0" encoding="utf-8"?>
<sst xmlns="http://schemas.openxmlformats.org/spreadsheetml/2006/main" count="28" uniqueCount="21">
  <si>
    <t>Rep</t>
  </si>
  <si>
    <t>Sales Figures</t>
  </si>
  <si>
    <t>Jeremy</t>
  </si>
  <si>
    <t>Mark</t>
  </si>
  <si>
    <t>Carol</t>
  </si>
  <si>
    <t>Steve</t>
  </si>
  <si>
    <t>Gordon</t>
  </si>
  <si>
    <t>Billy</t>
  </si>
  <si>
    <t>Marissa</t>
  </si>
  <si>
    <t>Targets</t>
  </si>
  <si>
    <t>Targets Beat?</t>
  </si>
  <si>
    <t>Information Look Up</t>
  </si>
  <si>
    <t>Name</t>
  </si>
  <si>
    <t>Beat Target</t>
  </si>
  <si>
    <t xml:space="preserve">Who had sales of $21,232? </t>
  </si>
  <si>
    <t>Jordan</t>
  </si>
  <si>
    <t>KPI 1</t>
  </si>
  <si>
    <t>KPI 2</t>
  </si>
  <si>
    <t>KPI 3</t>
  </si>
  <si>
    <t>KPI 4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</si>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</sst>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44" formatCode="_(&quot;$&quot;* #,##0.00_);_(&quot;$&quot;* \(#,##0.00\);_(&quot;$&quot;* &quot;-&quot;??_);_(@_)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6" fontId="0" fillId="0" borderId="0" xfId="0" applyNumberFormat="1"/>
    <xf numFmtId="0" fontId="0" fillId="0" borderId="0" xfId="0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44" fontId="0" fillId="0" borderId="0" xfId="1" applyFont="1"/>
    <xf numFmtId="0" fontId="3" fillId="0" borderId="0" xfId="0" applyFont="1"/>
    <xf numFmtId="44" fontId="0" fillId="0" borderId="0" xfId="1" applyFont="1" applyAlignment="1">
      <alignment horizontal="center"/>
    </xf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righ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tabSelected="1" workbookViewId="0">
      <selection activeCell="C10" sqref="C10"/>
    </sheetView>
  </sheetViews>
  <sheetFormatPr defaultRowHeight="15.75" x14ac:dyDescent="0.25"/>
  <cols>
    <col min="2" max="2" width="14.375" customWidth="1"/>
    <col min="3" max="3" width="16" customWidth="1"/>
    <col min="4" max="4" width="33.125" bestFit="1" customWidth="1"/>
    <col min="6" max="7" width="22.125" bestFit="1" customWidth="1"/>
  </cols>
  <sheetData>
    <row r="1" spans="1:7" x14ac:dyDescent="0.25">
      <c r="A1" s="4" t="s">
        <v>0</v>
      </c>
      <c r="B1" s="5" t="s">
        <v>1</v>
      </c>
      <c r="C1" s="5" t="s">
        <v>9</v>
      </c>
      <c r="D1" s="6" t="s">
        <v>10</v>
      </c>
    </row>
    <row r="2" spans="1:7" x14ac:dyDescent="0.25">
      <c r="A2" t="s">
        <v>2</v>
      </c>
      <c r="B2" s="2">
        <v>34534</v>
      </c>
      <c r="C2" s="2">
        <v>30000</v>
      </c>
      <c r="D2" s="3" t="str">
        <f>IF(B2&gt;C2, "Y","N")</f>
        <v>Y</v>
      </c>
      <c r="F2" s="1" t="s">
        <v>11</v>
      </c>
    </row>
    <row r="3" spans="1:7" x14ac:dyDescent="0.25">
      <c r="A3" t="s">
        <v>3</v>
      </c>
      <c r="B3" s="2">
        <v>12321</v>
      </c>
      <c r="C3" s="2">
        <v>15000</v>
      </c>
      <c r="D3" s="3" t="str">
        <f t="shared" ref="D3:D8" si="0">IF(B3&gt;C3, "Y","N")</f>
        <v>N</v>
      </c>
      <c r="F3" t="s">
        <v>12</v>
      </c>
      <c r="G3" t="s">
        <v>2</v>
      </c>
    </row>
    <row r="4" spans="1:7" x14ac:dyDescent="0.25">
      <c r="A4" t="s">
        <v>4</v>
      </c>
      <c r="B4" s="2">
        <v>21232</v>
      </c>
      <c r="C4" s="2">
        <v>20000</v>
      </c>
      <c r="D4" s="3" t="str">
        <f t="shared" si="0"/>
        <v>Y</v>
      </c>
    </row>
    <row r="5" spans="1:7" x14ac:dyDescent="0.25">
      <c r="A5" t="s">
        <v>5</v>
      </c>
      <c r="B5" s="2">
        <v>1000</v>
      </c>
      <c r="C5" s="2">
        <v>9000</v>
      </c>
      <c r="D5" s="3" t="str">
        <f t="shared" si="0"/>
        <v>N</v>
      </c>
      <c r="F5" s="7" t="s">
        <v>1</v>
      </c>
      <c r="G5" s="8" t="s">
        <v>13</v>
      </c>
    </row>
    <row r="6" spans="1:7" x14ac:dyDescent="0.25">
      <c r="A6" t="s">
        <v>6</v>
      </c>
      <c r="B6" s="2">
        <v>2323</v>
      </c>
      <c r="C6" s="2">
        <v>4500</v>
      </c>
      <c r="D6" s="3" t="str">
        <f t="shared" si="0"/>
        <v>N</v>
      </c>
      <c r="F6" s="9">
        <f t="array" ref="F6:G6">VLOOKUP(G3,A1:D8,{2,4},0)</f>
        <v>34534</v>
      </c>
      <c r="G6" s="11" t="str">
        <v>Y</v>
      </c>
    </row>
    <row r="7" spans="1:7" x14ac:dyDescent="0.25">
      <c r="A7" t="s">
        <v>7</v>
      </c>
      <c r="B7" s="2">
        <v>89732</v>
      </c>
      <c r="C7" s="2">
        <v>75000</v>
      </c>
      <c r="D7" s="3" t="str">
        <f t="shared" si="0"/>
        <v>Y</v>
      </c>
      <c r="F7" s="10"/>
      <c r="G7" s="10"/>
    </row>
    <row r="8" spans="1:7" x14ac:dyDescent="0.25">
      <c r="A8" t="s">
        <v>8</v>
      </c>
      <c r="B8" s="2">
        <v>3544</v>
      </c>
      <c r="C8" s="2">
        <v>10000</v>
      </c>
      <c r="D8" s="3" t="str">
        <f t="shared" si="0"/>
        <v>N</v>
      </c>
    </row>
    <row r="10" spans="1:7" x14ac:dyDescent="0.25">
      <c r="A10" t="s">
        <v>14</v>
      </c>
      <c r="C10" t="str">
        <f>INDEX(A2:A8,MATCH(21232,B2:B8,0))</f>
        <v>Carol</v>
      </c>
      <c r="D10" s="3" t="str">
        <f ca="1">_xlfn.FORMULATEXT(C10)</f>
        <v>=INDEX(A2:A8,MATCH(21232,B2:B8,0))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E13" sqref="E13"/>
    </sheetView>
  </sheetViews>
  <sheetFormatPr defaultRowHeight="15.75" x14ac:dyDescent="0.25"/>
  <sheetData>
    <row r="1" spans="1:5" x14ac:dyDescent="0.25">
      <c r="A1" t="s">
        <v>15</v>
      </c>
    </row>
    <row r="8" spans="1:5" x14ac:dyDescent="0.25">
      <c r="E8" t="s">
        <v>15</v>
      </c>
    </row>
    <row r="12" spans="1:5" x14ac:dyDescent="0.25">
      <c r="B12" t="s">
        <v>15</v>
      </c>
    </row>
    <row r="13" spans="1:5" x14ac:dyDescent="0.25">
      <c r="E13" s="2">
        <v>25000</v>
      </c>
    </row>
    <row r="14" spans="1:5" x14ac:dyDescent="0.25">
      <c r="E14" s="2">
        <f>E13*20</f>
        <v>500000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17"/>
  <sheetViews>
    <sheetView workbookViewId="0"/>
  </sheetViews>
  <sheetFormatPr defaultRowHeight="15.75" x14ac:dyDescent="0.25"/>
  <cols>
    <col min="1" max="1" width="3.5" customWidth="1"/>
    <col min="2" max="2" width="8.125" customWidth="1"/>
    <col min="3" max="3" width="3.25" customWidth="1"/>
    <col min="5" max="5" width="3.75" customWidth="1"/>
    <col min="7" max="7" width="3.875" customWidth="1"/>
    <col min="9" max="9" width="4.375" customWidth="1"/>
  </cols>
  <sheetData>
    <row r="1" spans="2:8" x14ac:dyDescent="0.25">
      <c r="B1" s="1" t="s">
        <v>16</v>
      </c>
      <c r="D1" s="1" t="s">
        <v>17</v>
      </c>
      <c r="F1" s="1" t="s">
        <v>18</v>
      </c>
      <c r="H1" s="1" t="s">
        <v>19</v>
      </c>
    </row>
    <row r="2" spans="2:8" x14ac:dyDescent="0.25">
      <c r="B2">
        <v>4177</v>
      </c>
      <c r="D2">
        <v>4315</v>
      </c>
      <c r="F2">
        <v>783</v>
      </c>
      <c r="H2">
        <v>1997</v>
      </c>
    </row>
    <row r="3" spans="2:8" x14ac:dyDescent="0.25">
      <c r="B3">
        <v>3335</v>
      </c>
      <c r="D3">
        <v>4233</v>
      </c>
      <c r="F3">
        <v>685</v>
      </c>
      <c r="H3">
        <v>2575</v>
      </c>
    </row>
    <row r="4" spans="2:8" x14ac:dyDescent="0.25">
      <c r="B4">
        <v>400</v>
      </c>
      <c r="D4">
        <v>3565</v>
      </c>
      <c r="F4">
        <v>64</v>
      </c>
      <c r="H4">
        <v>3160</v>
      </c>
    </row>
    <row r="5" spans="2:8" x14ac:dyDescent="0.25">
      <c r="B5">
        <v>2004</v>
      </c>
      <c r="D5">
        <v>636</v>
      </c>
      <c r="F5">
        <v>1179</v>
      </c>
      <c r="H5">
        <v>1495</v>
      </c>
    </row>
    <row r="6" spans="2:8" x14ac:dyDescent="0.25">
      <c r="B6">
        <v>3874</v>
      </c>
      <c r="D6">
        <v>3939</v>
      </c>
      <c r="F6">
        <v>321</v>
      </c>
      <c r="H6">
        <v>543</v>
      </c>
    </row>
    <row r="7" spans="2:8" x14ac:dyDescent="0.25">
      <c r="B7">
        <v>24</v>
      </c>
      <c r="D7">
        <v>2913</v>
      </c>
      <c r="F7">
        <v>1037</v>
      </c>
      <c r="H7">
        <v>2427</v>
      </c>
    </row>
    <row r="8" spans="2:8" x14ac:dyDescent="0.25">
      <c r="B8">
        <v>1453</v>
      </c>
      <c r="D8">
        <v>961</v>
      </c>
      <c r="F8">
        <v>3389</v>
      </c>
      <c r="H8">
        <v>479</v>
      </c>
    </row>
    <row r="9" spans="2:8" x14ac:dyDescent="0.25">
      <c r="B9">
        <v>1041</v>
      </c>
      <c r="D9">
        <v>1779</v>
      </c>
      <c r="F9">
        <v>2825</v>
      </c>
      <c r="H9">
        <v>1247</v>
      </c>
    </row>
    <row r="10" spans="2:8" x14ac:dyDescent="0.25">
      <c r="B10">
        <v>2733</v>
      </c>
      <c r="D10" s="12" t="s">
        <v>20</v>
      </c>
      <c r="F10">
        <v>3456</v>
      </c>
      <c r="H10">
        <v>1595</v>
      </c>
    </row>
    <row r="11" spans="2:8" x14ac:dyDescent="0.25">
      <c r="B11">
        <v>682</v>
      </c>
      <c r="D11" s="13">
        <f>SUM(D2:D9)</f>
        <v>22341</v>
      </c>
      <c r="F11">
        <v>1641</v>
      </c>
      <c r="H11">
        <v>2985</v>
      </c>
    </row>
    <row r="12" spans="2:8" x14ac:dyDescent="0.25">
      <c r="B12">
        <v>359</v>
      </c>
      <c r="F12">
        <v>1034</v>
      </c>
      <c r="H12">
        <v>2393</v>
      </c>
    </row>
    <row r="13" spans="2:8" x14ac:dyDescent="0.25">
      <c r="B13">
        <v>1360</v>
      </c>
      <c r="F13" s="12" t="s">
        <v>20</v>
      </c>
      <c r="H13">
        <v>3186</v>
      </c>
    </row>
    <row r="14" spans="2:8" x14ac:dyDescent="0.25">
      <c r="B14">
        <v>2584</v>
      </c>
      <c r="F14" s="13">
        <f>SUM(F2:F12)</f>
        <v>16414</v>
      </c>
      <c r="H14" s="12" t="s">
        <v>20</v>
      </c>
    </row>
    <row r="15" spans="2:8" x14ac:dyDescent="0.25">
      <c r="B15">
        <v>1163</v>
      </c>
      <c r="H15" s="13">
        <f>SUM(H2:H13)</f>
        <v>24082</v>
      </c>
    </row>
    <row r="16" spans="2:8" x14ac:dyDescent="0.25">
      <c r="B16" s="12" t="s">
        <v>20</v>
      </c>
    </row>
    <row r="17" spans="2:2" x14ac:dyDescent="0.25">
      <c r="B17" s="13">
        <f>SUM(B2:B15)</f>
        <v>25189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FavoriteColor</vt:lpstr>
      <vt:lpstr>FirstName</vt:lpstr>
      <vt:lpstr>LastName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Goldmeier</dc:creator>
  <cp:lastModifiedBy>Jordan Goldmeier</cp:lastModifiedBy>
  <dcterms:created xsi:type="dcterms:W3CDTF">2014-12-30T22:29:21Z</dcterms:created>
  <dcterms:modified xsi:type="dcterms:W3CDTF">2015-07-23T22:30:38Z</dcterms:modified>
</cp:coreProperties>
</file>