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ocuments\Dashboards with Excel\Source Code\Chapter 14\"/>
    </mc:Choice>
  </mc:AlternateContent>
  <bookViews>
    <workbookView xWindow="0" yWindow="0" windowWidth="24000" windowHeight="9435"/>
  </bookViews>
  <sheets>
    <sheet name="Dashboard" sheetId="3" r:id="rId1"/>
    <sheet name="Calculation" sheetId="2" r:id="rId2"/>
    <sheet name="Data" sheetId="5" r:id="rId3"/>
  </sheets>
  <functionGroups builtInGroupCount="18"/>
  <definedNames>
    <definedName name="Calc.StartIndex">Calculation!#REF!</definedName>
    <definedName name="Calculation.MaxWorkHours">Calculation!$C$30</definedName>
    <definedName name="Calculation.WorstCalenderDay">Calculation!$C$32</definedName>
    <definedName name="Dashboard.CurrentColumn">Dashboard!$D$37</definedName>
    <definedName name="Dashboard.CurrentRow">Dashboard!$D$36</definedName>
    <definedName name="Dashboard.GanttChartArea">Dashboard!$D$7:$AG$24</definedName>
    <definedName name="Dashboard.Hoursworked">Dashboard!$D$33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3" l="1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D62" i="3"/>
  <c r="D41" i="3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C22" i="2"/>
  <c r="C5" i="2" a="1"/>
  <c r="C5" i="2" s="1"/>
  <c r="D5" i="2" a="1"/>
  <c r="D5" i="2"/>
  <c r="E5" i="2" a="1"/>
  <c r="E5" i="2" s="1"/>
  <c r="F5" i="2" a="1"/>
  <c r="F5" i="2"/>
  <c r="G5" i="2" a="1"/>
  <c r="G5" i="2" s="1"/>
  <c r="H5" i="2" a="1"/>
  <c r="H5" i="2"/>
  <c r="I5" i="2" a="1"/>
  <c r="I5" i="2" s="1"/>
  <c r="J5" i="2" a="1"/>
  <c r="J5" i="2"/>
  <c r="K5" i="2" a="1"/>
  <c r="K5" i="2" s="1"/>
  <c r="L5" i="2" a="1"/>
  <c r="L5" i="2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/>
  <c r="AA5" i="2" a="1"/>
  <c r="AA5" i="2" s="1"/>
  <c r="AB5" i="2" a="1"/>
  <c r="AB5" i="2"/>
  <c r="AC5" i="2" a="1"/>
  <c r="AC5" i="2" s="1"/>
  <c r="AD5" i="2" a="1"/>
  <c r="AD5" i="2" s="1"/>
  <c r="AE5" i="2" a="1"/>
  <c r="AE5" i="2" s="1"/>
  <c r="AF5" i="2" a="1"/>
  <c r="AF5" i="2" s="1"/>
  <c r="C6" i="2" a="1"/>
  <c r="C6" i="2" s="1"/>
  <c r="D6" i="2" a="1"/>
  <c r="D6" i="2"/>
  <c r="E6" i="2" a="1"/>
  <c r="E6" i="2" s="1"/>
  <c r="F6" i="2" a="1"/>
  <c r="F6" i="2"/>
  <c r="G6" i="2" a="1"/>
  <c r="G6" i="2" s="1"/>
  <c r="H6" i="2" a="1"/>
  <c r="H6" i="2" s="1"/>
  <c r="I6" i="2" a="1"/>
  <c r="I6" i="2" s="1"/>
  <c r="J6" i="2" a="1"/>
  <c r="J6" i="2" s="1"/>
  <c r="K6" i="2" a="1"/>
  <c r="K6" i="2" s="1"/>
  <c r="L6" i="2" a="1"/>
  <c r="L6" i="2"/>
  <c r="M6" i="2" a="1"/>
  <c r="M6" i="2" s="1"/>
  <c r="N6" i="2" a="1"/>
  <c r="N6" i="2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/>
  <c r="AC6" i="2" a="1"/>
  <c r="AC6" i="2" s="1"/>
  <c r="AD6" i="2" a="1"/>
  <c r="AD6" i="2" s="1"/>
  <c r="AE6" i="2" a="1"/>
  <c r="AE6" i="2" s="1"/>
  <c r="AF6" i="2" a="1"/>
  <c r="AF6" i="2" s="1"/>
  <c r="C7" i="2" a="1"/>
  <c r="C7" i="2" s="1"/>
  <c r="D7" i="2" a="1"/>
  <c r="D7" i="2" s="1"/>
  <c r="E7" i="2" a="1"/>
  <c r="E7" i="2" s="1"/>
  <c r="F7" i="2" a="1"/>
  <c r="F7" i="2"/>
  <c r="G7" i="2" a="1"/>
  <c r="G7" i="2" s="1"/>
  <c r="H7" i="2" a="1"/>
  <c r="H7" i="2" s="1"/>
  <c r="I7" i="2" a="1"/>
  <c r="I7" i="2" s="1"/>
  <c r="J7" i="2" a="1"/>
  <c r="J7" i="2" s="1"/>
  <c r="K7" i="2" a="1"/>
  <c r="K7" i="2" s="1"/>
  <c r="L7" i="2" a="1"/>
  <c r="L7" i="2" s="1"/>
  <c r="M7" i="2" a="1"/>
  <c r="M7" i="2" s="1"/>
  <c r="N7" i="2" a="1"/>
  <c r="N7" i="2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/>
  <c r="AE7" i="2" a="1"/>
  <c r="AE7" i="2" s="1"/>
  <c r="AF7" i="2" a="1"/>
  <c r="AF7" i="2" s="1"/>
  <c r="C8" i="2" a="1"/>
  <c r="C8" i="2" s="1"/>
  <c r="D8" i="2" a="1"/>
  <c r="D8" i="2" s="1"/>
  <c r="E8" i="2" a="1"/>
  <c r="E8" i="2" s="1"/>
  <c r="F8" i="2" a="1"/>
  <c r="F8" i="2" s="1"/>
  <c r="G8" i="2" a="1"/>
  <c r="G8" i="2" s="1"/>
  <c r="H8" i="2" a="1"/>
  <c r="H8" i="2"/>
  <c r="I8" i="2" a="1"/>
  <c r="I8" i="2" s="1"/>
  <c r="J8" i="2" a="1"/>
  <c r="J8" i="2" s="1"/>
  <c r="K8" i="2" a="1"/>
  <c r="K8" i="2" s="1"/>
  <c r="L8" i="2" a="1"/>
  <c r="L8" i="2" s="1"/>
  <c r="M8" i="2" a="1"/>
  <c r="M8" i="2" s="1"/>
  <c r="N8" i="2" a="1"/>
  <c r="N8" i="2" s="1"/>
  <c r="O8" i="2" a="1"/>
  <c r="O8" i="2" s="1"/>
  <c r="P8" i="2" a="1"/>
  <c r="P8" i="2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AF8" i="2" a="1"/>
  <c r="AF8" i="2"/>
  <c r="C9" i="2" a="1"/>
  <c r="C9" i="2" s="1"/>
  <c r="D9" i="2" a="1"/>
  <c r="D9" i="2" s="1"/>
  <c r="E9" i="2" a="1"/>
  <c r="E9" i="2" s="1"/>
  <c r="F9" i="2" a="1"/>
  <c r="F9" i="2" s="1"/>
  <c r="G9" i="2" a="1"/>
  <c r="G9" i="2" s="1"/>
  <c r="H9" i="2" a="1"/>
  <c r="H9" i="2" s="1"/>
  <c r="I9" i="2" a="1"/>
  <c r="I9" i="2" s="1"/>
  <c r="J9" i="2" a="1"/>
  <c r="J9" i="2"/>
  <c r="K9" i="2" a="1"/>
  <c r="K9" i="2" s="1"/>
  <c r="L9" i="2" a="1"/>
  <c r="L9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AF9" i="2" a="1"/>
  <c r="AF9" i="2" s="1"/>
  <c r="C10" i="2" a="1"/>
  <c r="C10" i="2" s="1"/>
  <c r="D10" i="2" a="1"/>
  <c r="D10" i="2"/>
  <c r="E10" i="2" a="1"/>
  <c r="E10" i="2" s="1"/>
  <c r="F10" i="2" a="1"/>
  <c r="F10" i="2" s="1"/>
  <c r="G10" i="2" a="1"/>
  <c r="G10" i="2" s="1"/>
  <c r="H10" i="2" a="1"/>
  <c r="H10" i="2" s="1"/>
  <c r="I10" i="2" a="1"/>
  <c r="I10" i="2" s="1"/>
  <c r="J10" i="2" a="1"/>
  <c r="J10" i="2" s="1"/>
  <c r="K10" i="2" a="1"/>
  <c r="K10" i="2" s="1"/>
  <c r="L10" i="2" a="1"/>
  <c r="L10" i="2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AF10" i="2" a="1"/>
  <c r="AF10" i="2" s="1"/>
  <c r="C11" i="2" a="1"/>
  <c r="C11" i="2" s="1"/>
  <c r="D11" i="2" a="1"/>
  <c r="D11" i="2" s="1"/>
  <c r="E11" i="2" a="1"/>
  <c r="E11" i="2" s="1"/>
  <c r="F11" i="2" a="1"/>
  <c r="F11" i="2" s="1"/>
  <c r="G11" i="2" a="1"/>
  <c r="G11" i="2" s="1"/>
  <c r="H11" i="2" a="1"/>
  <c r="H11" i="2" s="1"/>
  <c r="I11" i="2" a="1"/>
  <c r="I11" i="2" s="1"/>
  <c r="J11" i="2" a="1"/>
  <c r="J11" i="2" s="1"/>
  <c r="K11" i="2" a="1"/>
  <c r="K11" i="2" s="1"/>
  <c r="L11" i="2" a="1"/>
  <c r="L11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AF11" i="2" a="1"/>
  <c r="AF11" i="2" s="1"/>
  <c r="C12" i="2" a="1"/>
  <c r="C12" i="2" s="1"/>
  <c r="D12" i="2" a="1"/>
  <c r="D12" i="2" s="1"/>
  <c r="E12" i="2" a="1"/>
  <c r="E12" i="2"/>
  <c r="F12" i="2" a="1"/>
  <c r="F12" i="2" s="1"/>
  <c r="G12" i="2" a="1"/>
  <c r="G12" i="2"/>
  <c r="H12" i="2" a="1"/>
  <c r="H12" i="2" s="1"/>
  <c r="I12" i="2" a="1"/>
  <c r="I12" i="2" s="1"/>
  <c r="J12" i="2" a="1"/>
  <c r="J12" i="2" s="1"/>
  <c r="K12" i="2" a="1"/>
  <c r="K12" i="2" s="1"/>
  <c r="L12" i="2" a="1"/>
  <c r="L12" i="2" s="1"/>
  <c r="M12" i="2" a="1"/>
  <c r="M12" i="2"/>
  <c r="N12" i="2" a="1"/>
  <c r="N12" i="2" s="1"/>
  <c r="O12" i="2" a="1"/>
  <c r="O12" i="2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/>
  <c r="V12" i="2" a="1"/>
  <c r="V12" i="2" s="1"/>
  <c r="W12" i="2" a="1"/>
  <c r="W12" i="2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/>
  <c r="AD12" i="2" a="1"/>
  <c r="AD12" i="2" s="1"/>
  <c r="AE12" i="2" a="1"/>
  <c r="AE12" i="2"/>
  <c r="AF12" i="2" a="1"/>
  <c r="AF12" i="2" s="1"/>
  <c r="C13" i="2" a="1"/>
  <c r="C13" i="2" s="1"/>
  <c r="D13" i="2" a="1"/>
  <c r="D13" i="2" s="1"/>
  <c r="E13" i="2" a="1"/>
  <c r="E13" i="2" s="1"/>
  <c r="F13" i="2" a="1"/>
  <c r="F13" i="2" s="1"/>
  <c r="G13" i="2" a="1"/>
  <c r="G13" i="2" s="1"/>
  <c r="H13" i="2" a="1"/>
  <c r="H13" i="2" s="1"/>
  <c r="I13" i="2" a="1"/>
  <c r="I13" i="2"/>
  <c r="J13" i="2" a="1"/>
  <c r="J13" i="2" s="1"/>
  <c r="K13" i="2" a="1"/>
  <c r="K13" i="2" s="1"/>
  <c r="L13" i="2" a="1"/>
  <c r="L13" i="2" s="1"/>
  <c r="M13" i="2" a="1"/>
  <c r="M13" i="2" s="1"/>
  <c r="N13" i="2" a="1"/>
  <c r="N13" i="2" s="1"/>
  <c r="O13" i="2" a="1"/>
  <c r="O13" i="2"/>
  <c r="P13" i="2" a="1"/>
  <c r="P13" i="2" s="1"/>
  <c r="Q13" i="2" a="1"/>
  <c r="Q13" i="2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/>
  <c r="AF13" i="2" a="1"/>
  <c r="AF13" i="2" s="1"/>
  <c r="C14" i="2" a="1"/>
  <c r="C14" i="2"/>
  <c r="D14" i="2" a="1"/>
  <c r="D14" i="2" s="1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K14" i="2" a="1"/>
  <c r="K14" i="2"/>
  <c r="L14" i="2" a="1"/>
  <c r="L14" i="2" s="1"/>
  <c r="M14" i="2" a="1"/>
  <c r="M14" i="2" s="1"/>
  <c r="N14" i="2" a="1"/>
  <c r="N14" i="2" s="1"/>
  <c r="O14" i="2" a="1"/>
  <c r="O14" i="2" s="1"/>
  <c r="P14" i="2" a="1"/>
  <c r="P14" i="2" s="1"/>
  <c r="Q14" i="2" a="1"/>
  <c r="Q14" i="2"/>
  <c r="R14" i="2" a="1"/>
  <c r="R14" i="2" s="1"/>
  <c r="S14" i="2" a="1"/>
  <c r="S14" i="2"/>
  <c r="T14" i="2" a="1"/>
  <c r="T14" i="2" s="1"/>
  <c r="U14" i="2" a="1"/>
  <c r="U14" i="2"/>
  <c r="V14" i="2" a="1"/>
  <c r="V14" i="2" s="1"/>
  <c r="W14" i="2" a="1"/>
  <c r="W14" i="2" s="1"/>
  <c r="X14" i="2" a="1"/>
  <c r="X14" i="2" s="1"/>
  <c r="Y14" i="2" a="1"/>
  <c r="Y14" i="2"/>
  <c r="Z14" i="2" a="1"/>
  <c r="Z14" i="2" s="1"/>
  <c r="AA14" i="2" a="1"/>
  <c r="AA14" i="2"/>
  <c r="AB14" i="2" a="1"/>
  <c r="AB14" i="2" s="1"/>
  <c r="AC14" i="2" a="1"/>
  <c r="AC14" i="2"/>
  <c r="AD14" i="2" a="1"/>
  <c r="AD14" i="2" s="1"/>
  <c r="AE14" i="2" a="1"/>
  <c r="AE14" i="2" s="1"/>
  <c r="AF14" i="2" a="1"/>
  <c r="AF14" i="2" s="1"/>
  <c r="C15" i="2" a="1"/>
  <c r="C15" i="2"/>
  <c r="D15" i="2" a="1"/>
  <c r="D15" i="2" s="1"/>
  <c r="E15" i="2" a="1"/>
  <c r="E15" i="2"/>
  <c r="F15" i="2" a="1"/>
  <c r="F15" i="2" s="1"/>
  <c r="G15" i="2" a="1"/>
  <c r="G15" i="2"/>
  <c r="H15" i="2" a="1"/>
  <c r="H15" i="2" s="1"/>
  <c r="I15" i="2" a="1"/>
  <c r="I15" i="2" s="1"/>
  <c r="J15" i="2" a="1"/>
  <c r="J15" i="2"/>
  <c r="K15" i="2" a="1"/>
  <c r="K15" i="2" s="1"/>
  <c r="L15" i="2" a="1"/>
  <c r="L15" i="2"/>
  <c r="M15" i="2" a="1"/>
  <c r="M15" i="2" s="1"/>
  <c r="N15" i="2" a="1"/>
  <c r="N15" i="2"/>
  <c r="O15" i="2" a="1"/>
  <c r="O15" i="2" s="1"/>
  <c r="P15" i="2" a="1"/>
  <c r="P15" i="2"/>
  <c r="Q15" i="2" a="1"/>
  <c r="Q15" i="2" s="1"/>
  <c r="R15" i="2" a="1"/>
  <c r="R15" i="2"/>
  <c r="S15" i="2" a="1"/>
  <c r="S15" i="2" s="1"/>
  <c r="T15" i="2" a="1"/>
  <c r="T15" i="2"/>
  <c r="U15" i="2" a="1"/>
  <c r="U15" i="2" s="1"/>
  <c r="V15" i="2" a="1"/>
  <c r="V15" i="2"/>
  <c r="W15" i="2" a="1"/>
  <c r="W15" i="2" s="1"/>
  <c r="X15" i="2" a="1"/>
  <c r="X15" i="2"/>
  <c r="Y15" i="2" a="1"/>
  <c r="Y15" i="2" s="1"/>
  <c r="Z15" i="2" a="1"/>
  <c r="Z15" i="2"/>
  <c r="AA15" i="2" a="1"/>
  <c r="AA15" i="2" s="1"/>
  <c r="AB15" i="2" a="1"/>
  <c r="AB15" i="2"/>
  <c r="AC15" i="2" a="1"/>
  <c r="AC15" i="2" s="1"/>
  <c r="AD15" i="2" a="1"/>
  <c r="AD15" i="2" s="1"/>
  <c r="AE15" i="2" a="1"/>
  <c r="AE15" i="2" s="1"/>
  <c r="AF15" i="2" a="1"/>
  <c r="AF15" i="2" s="1"/>
  <c r="C16" i="2" a="1"/>
  <c r="C16" i="2" s="1"/>
  <c r="D16" i="2" a="1"/>
  <c r="D16" i="2"/>
  <c r="E16" i="2" a="1"/>
  <c r="E16" i="2" s="1"/>
  <c r="F16" i="2" a="1"/>
  <c r="F16" i="2"/>
  <c r="G16" i="2" a="1"/>
  <c r="G16" i="2" s="1"/>
  <c r="H16" i="2" a="1"/>
  <c r="H16" i="2" s="1"/>
  <c r="I16" i="2" a="1"/>
  <c r="I16" i="2" s="1"/>
  <c r="J16" i="2" a="1"/>
  <c r="J16" i="2" s="1"/>
  <c r="K16" i="2" a="1"/>
  <c r="K16" i="2" s="1"/>
  <c r="L16" i="2" a="1"/>
  <c r="L16" i="2"/>
  <c r="M16" i="2" a="1"/>
  <c r="M16" i="2" s="1"/>
  <c r="N16" i="2" a="1"/>
  <c r="N16" i="2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/>
  <c r="U16" i="2" a="1"/>
  <c r="U16" i="2" s="1"/>
  <c r="V16" i="2" a="1"/>
  <c r="V16" i="2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/>
  <c r="AC16" i="2" a="1"/>
  <c r="AC16" i="2" s="1"/>
  <c r="AD16" i="2" a="1"/>
  <c r="AD16" i="2"/>
  <c r="AE16" i="2" a="1"/>
  <c r="AE16" i="2" s="1"/>
  <c r="AF16" i="2" a="1"/>
  <c r="AF16" i="2" s="1"/>
  <c r="C17" i="2" a="1"/>
  <c r="C17" i="2" s="1"/>
  <c r="D17" i="2" a="1"/>
  <c r="D17" i="2" s="1"/>
  <c r="E17" i="2" a="1"/>
  <c r="E17" i="2" s="1"/>
  <c r="F17" i="2" a="1"/>
  <c r="F17" i="2"/>
  <c r="G17" i="2" a="1"/>
  <c r="G17" i="2" s="1"/>
  <c r="H17" i="2" a="1"/>
  <c r="H17" i="2"/>
  <c r="I17" i="2" a="1"/>
  <c r="I17" i="2" s="1"/>
  <c r="J17" i="2" a="1"/>
  <c r="J17" i="2" s="1"/>
  <c r="K17" i="2" a="1"/>
  <c r="K17" i="2" s="1"/>
  <c r="L17" i="2" a="1"/>
  <c r="L17" i="2" s="1"/>
  <c r="M17" i="2" a="1"/>
  <c r="M17" i="2" s="1"/>
  <c r="N17" i="2" a="1"/>
  <c r="N17" i="2"/>
  <c r="O17" i="2" a="1"/>
  <c r="O17" i="2" s="1"/>
  <c r="P17" i="2" a="1"/>
  <c r="P17" i="2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/>
  <c r="W17" i="2" a="1"/>
  <c r="W17" i="2" s="1"/>
  <c r="X17" i="2" a="1"/>
  <c r="X17" i="2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/>
  <c r="AE17" i="2" a="1"/>
  <c r="AE17" i="2" s="1"/>
  <c r="AF17" i="2" a="1"/>
  <c r="AF17" i="2"/>
  <c r="C18" i="2" a="1"/>
  <c r="C18" i="2" s="1"/>
  <c r="D18" i="2" a="1"/>
  <c r="D18" i="2" s="1"/>
  <c r="E18" i="2" a="1"/>
  <c r="E18" i="2" s="1"/>
  <c r="F18" i="2" a="1"/>
  <c r="F18" i="2" s="1"/>
  <c r="G18" i="2" a="1"/>
  <c r="G18" i="2" s="1"/>
  <c r="H18" i="2" a="1"/>
  <c r="H18" i="2"/>
  <c r="I18" i="2" a="1"/>
  <c r="I18" i="2" s="1"/>
  <c r="J18" i="2" a="1"/>
  <c r="J18" i="2"/>
  <c r="K18" i="2" a="1"/>
  <c r="K18" i="2" s="1"/>
  <c r="L18" i="2" a="1"/>
  <c r="L18" i="2" s="1"/>
  <c r="M18" i="2" a="1"/>
  <c r="M18" i="2" s="1"/>
  <c r="N18" i="2" a="1"/>
  <c r="N18" i="2" s="1"/>
  <c r="O18" i="2" a="1"/>
  <c r="O18" i="2" s="1"/>
  <c r="P18" i="2" a="1"/>
  <c r="P18" i="2"/>
  <c r="Q18" i="2" a="1"/>
  <c r="Q18" i="2" s="1"/>
  <c r="R18" i="2" a="1"/>
  <c r="R18" i="2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/>
  <c r="Y18" i="2" a="1"/>
  <c r="Y18" i="2" s="1"/>
  <c r="Z18" i="2" a="1"/>
  <c r="Z18" i="2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AF18" i="2" a="1"/>
  <c r="AF18" i="2"/>
  <c r="C19" i="2" a="1"/>
  <c r="C19" i="2" s="1"/>
  <c r="D19" i="2" a="1"/>
  <c r="D19" i="2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/>
  <c r="K19" i="2" a="1"/>
  <c r="K19" i="2" s="1"/>
  <c r="L19" i="2" a="1"/>
  <c r="L19" i="2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/>
  <c r="S19" i="2" a="1"/>
  <c r="S19" i="2" s="1"/>
  <c r="T19" i="2" a="1"/>
  <c r="T19" i="2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/>
  <c r="AA19" i="2" a="1"/>
  <c r="AA19" i="2" s="1"/>
  <c r="AB19" i="2" a="1"/>
  <c r="AB19" i="2"/>
  <c r="AC19" i="2" a="1"/>
  <c r="AC19" i="2" s="1"/>
  <c r="AD19" i="2" a="1"/>
  <c r="AD19" i="2" s="1"/>
  <c r="AE19" i="2" a="1"/>
  <c r="AE19" i="2" s="1"/>
  <c r="AF19" i="2" a="1"/>
  <c r="AF19" i="2" s="1"/>
  <c r="C20" i="2" a="1"/>
  <c r="C20" i="2" s="1"/>
  <c r="D20" i="2" a="1"/>
  <c r="D20" i="2"/>
  <c r="E20" i="2" a="1"/>
  <c r="E20" i="2" s="1"/>
  <c r="F20" i="2" a="1"/>
  <c r="F20" i="2"/>
  <c r="G20" i="2" a="1"/>
  <c r="G20" i="2" s="1"/>
  <c r="H20" i="2" a="1"/>
  <c r="H20" i="2"/>
  <c r="I20" i="2" a="1"/>
  <c r="I20" i="2" s="1"/>
  <c r="J20" i="2" a="1"/>
  <c r="J20" i="2"/>
  <c r="K20" i="2" a="1"/>
  <c r="K20" i="2" s="1"/>
  <c r="L20" i="2" a="1"/>
  <c r="L20" i="2"/>
  <c r="M20" i="2" a="1"/>
  <c r="M20" i="2" s="1"/>
  <c r="N20" i="2" a="1"/>
  <c r="N20" i="2"/>
  <c r="O20" i="2" a="1"/>
  <c r="O20" i="2" s="1"/>
  <c r="P20" i="2" a="1"/>
  <c r="P20" i="2"/>
  <c r="Q20" i="2" a="1"/>
  <c r="Q20" i="2" s="1"/>
  <c r="R20" i="2" a="1"/>
  <c r="R20" i="2"/>
  <c r="S20" i="2" a="1"/>
  <c r="S20" i="2" s="1"/>
  <c r="T20" i="2" a="1"/>
  <c r="T20" i="2"/>
  <c r="U20" i="2" a="1"/>
  <c r="U20" i="2" s="1"/>
  <c r="V20" i="2" a="1"/>
  <c r="V20" i="2"/>
  <c r="W20" i="2" a="1"/>
  <c r="W20" i="2" s="1"/>
  <c r="X20" i="2" a="1"/>
  <c r="X20" i="2"/>
  <c r="Y20" i="2" a="1"/>
  <c r="Y20" i="2" s="1"/>
  <c r="Z20" i="2" a="1"/>
  <c r="Z20" i="2"/>
  <c r="AA20" i="2" a="1"/>
  <c r="AA20" i="2" s="1"/>
  <c r="AB20" i="2" a="1"/>
  <c r="AB20" i="2"/>
  <c r="AC20" i="2" a="1"/>
  <c r="AC20" i="2" s="1"/>
  <c r="AD20" i="2" a="1"/>
  <c r="AD20" i="2"/>
  <c r="AE20" i="2" a="1"/>
  <c r="AE20" i="2" s="1"/>
  <c r="AF20" i="2" a="1"/>
  <c r="AF20" i="2"/>
  <c r="C21" i="2" a="1"/>
  <c r="C21" i="2" s="1"/>
  <c r="D21" i="2" a="1"/>
  <c r="D21" i="2"/>
  <c r="E21" i="2" a="1"/>
  <c r="E21" i="2" s="1"/>
  <c r="F21" i="2" a="1"/>
  <c r="F21" i="2"/>
  <c r="G21" i="2" a="1"/>
  <c r="G21" i="2" s="1"/>
  <c r="H21" i="2" a="1"/>
  <c r="H21" i="2"/>
  <c r="I21" i="2" a="1"/>
  <c r="I21" i="2" s="1"/>
  <c r="J21" i="2" a="1"/>
  <c r="J21" i="2"/>
  <c r="K21" i="2" a="1"/>
  <c r="K21" i="2" s="1"/>
  <c r="L21" i="2" a="1"/>
  <c r="L21" i="2"/>
  <c r="M21" i="2" a="1"/>
  <c r="M21" i="2" s="1"/>
  <c r="N21" i="2" a="1"/>
  <c r="N21" i="2"/>
  <c r="O21" i="2" a="1"/>
  <c r="O21" i="2" s="1"/>
  <c r="P21" i="2" a="1"/>
  <c r="P21" i="2"/>
  <c r="Q21" i="2" a="1"/>
  <c r="Q21" i="2" s="1"/>
  <c r="R21" i="2" a="1"/>
  <c r="R21" i="2"/>
  <c r="S21" i="2" a="1"/>
  <c r="S21" i="2" s="1"/>
  <c r="T21" i="2" a="1"/>
  <c r="T21" i="2"/>
  <c r="U21" i="2" a="1"/>
  <c r="U21" i="2" s="1"/>
  <c r="V21" i="2" a="1"/>
  <c r="V21" i="2"/>
  <c r="W21" i="2" a="1"/>
  <c r="W21" i="2" s="1"/>
  <c r="X21" i="2" a="1"/>
  <c r="X21" i="2"/>
  <c r="Y21" i="2" a="1"/>
  <c r="Y21" i="2" s="1"/>
  <c r="Z21" i="2" a="1"/>
  <c r="Z21" i="2"/>
  <c r="AA21" i="2" a="1"/>
  <c r="AA21" i="2" s="1"/>
  <c r="AB21" i="2" a="1"/>
  <c r="AB21" i="2"/>
  <c r="AC21" i="2" a="1"/>
  <c r="AC21" i="2" s="1"/>
  <c r="AD21" i="2" a="1"/>
  <c r="AD21" i="2"/>
  <c r="AE21" i="2" a="1"/>
  <c r="AE21" i="2" s="1"/>
  <c r="AF21" i="2" a="1"/>
  <c r="AF21" i="2"/>
  <c r="D4" i="2" a="1"/>
  <c r="D4" i="2" s="1"/>
  <c r="E4" i="2" a="1"/>
  <c r="E4" i="2"/>
  <c r="F4" i="2" a="1"/>
  <c r="F4" i="2" s="1"/>
  <c r="G4" i="2" a="1"/>
  <c r="G4" i="2"/>
  <c r="H4" i="2" a="1"/>
  <c r="H4" i="2" s="1"/>
  <c r="I4" i="2" a="1"/>
  <c r="I4" i="2"/>
  <c r="J4" i="2" a="1"/>
  <c r="J4" i="2" s="1"/>
  <c r="K4" i="2" a="1"/>
  <c r="K4" i="2"/>
  <c r="L4" i="2" a="1"/>
  <c r="L4" i="2" s="1"/>
  <c r="M4" i="2" a="1"/>
  <c r="M4" i="2"/>
  <c r="N4" i="2" a="1"/>
  <c r="N4" i="2" s="1"/>
  <c r="O4" i="2" a="1"/>
  <c r="O4" i="2"/>
  <c r="P4" i="2" a="1"/>
  <c r="P4" i="2" s="1"/>
  <c r="Q4" i="2" a="1"/>
  <c r="Q4" i="2"/>
  <c r="R4" i="2" a="1"/>
  <c r="R4" i="2" s="1"/>
  <c r="S4" i="2" a="1"/>
  <c r="S4" i="2"/>
  <c r="T4" i="2" a="1"/>
  <c r="T4" i="2" s="1"/>
  <c r="U4" i="2" a="1"/>
  <c r="U4" i="2"/>
  <c r="V4" i="2" a="1"/>
  <c r="V4" i="2" s="1"/>
  <c r="W4" i="2" a="1"/>
  <c r="W4" i="2"/>
  <c r="X4" i="2" a="1"/>
  <c r="X4" i="2" s="1"/>
  <c r="Y4" i="2" a="1"/>
  <c r="Y4" i="2"/>
  <c r="Z4" i="2" a="1"/>
  <c r="Z4" i="2" s="1"/>
  <c r="AA4" i="2" a="1"/>
  <c r="AA4" i="2"/>
  <c r="AB4" i="2" a="1"/>
  <c r="AB4" i="2" s="1"/>
  <c r="AC4" i="2" a="1"/>
  <c r="AC4" i="2"/>
  <c r="AD4" i="2" a="1"/>
  <c r="AD4" i="2" s="1"/>
  <c r="AE4" i="2" a="1"/>
  <c r="AE4" i="2"/>
  <c r="AF4" i="2" a="1"/>
  <c r="AF4" i="2" s="1"/>
  <c r="C4" i="2" a="1"/>
  <c r="C4" i="2" s="1"/>
  <c r="D32" i="3" l="1"/>
  <c r="D31" i="3"/>
  <c r="AI31" i="3" l="1"/>
  <c r="C7" i="3" l="1"/>
  <c r="B8" i="3"/>
  <c r="D6" i="3"/>
  <c r="D7" i="3"/>
  <c r="C8" i="3" l="1"/>
  <c r="B9" i="3"/>
  <c r="E6" i="3"/>
  <c r="E9" i="3"/>
  <c r="D9" i="3"/>
  <c r="E8" i="3"/>
  <c r="B10" i="3" l="1"/>
  <c r="C9" i="3"/>
  <c r="F6" i="3"/>
  <c r="E10" i="3"/>
  <c r="F8" i="3"/>
  <c r="F7" i="3"/>
  <c r="F10" i="3"/>
  <c r="D10" i="3"/>
  <c r="B11" i="3" l="1"/>
  <c r="C10" i="3"/>
  <c r="G6" i="3"/>
  <c r="G7" i="3"/>
  <c r="G8" i="3"/>
  <c r="G10" i="3"/>
  <c r="F11" i="3"/>
  <c r="E11" i="3"/>
  <c r="D11" i="3"/>
  <c r="G11" i="3"/>
  <c r="G9" i="3"/>
  <c r="C11" i="3" l="1"/>
  <c r="B12" i="3"/>
  <c r="H6" i="3"/>
  <c r="H11" i="3"/>
  <c r="F12" i="3"/>
  <c r="H10" i="3"/>
  <c r="H12" i="3"/>
  <c r="E12" i="3"/>
  <c r="D12" i="3"/>
  <c r="G12" i="3"/>
  <c r="H7" i="3"/>
  <c r="H9" i="3"/>
  <c r="H8" i="3"/>
  <c r="C12" i="3" l="1"/>
  <c r="B13" i="3"/>
  <c r="I6" i="3"/>
  <c r="I13" i="3"/>
  <c r="H13" i="3"/>
  <c r="D13" i="3"/>
  <c r="I7" i="3"/>
  <c r="F13" i="3"/>
  <c r="E13" i="3"/>
  <c r="I10" i="3"/>
  <c r="I11" i="3"/>
  <c r="I12" i="3"/>
  <c r="I9" i="3"/>
  <c r="I8" i="3"/>
  <c r="G13" i="3"/>
  <c r="B14" i="3" l="1"/>
  <c r="C13" i="3"/>
  <c r="J6" i="3"/>
  <c r="J8" i="3"/>
  <c r="E14" i="3"/>
  <c r="J13" i="3"/>
  <c r="G14" i="3"/>
  <c r="J12" i="3"/>
  <c r="J11" i="3"/>
  <c r="H14" i="3"/>
  <c r="J7" i="3"/>
  <c r="J14" i="3"/>
  <c r="I14" i="3"/>
  <c r="F14" i="3"/>
  <c r="D14" i="3"/>
  <c r="J10" i="3"/>
  <c r="J9" i="3"/>
  <c r="C14" i="3" l="1"/>
  <c r="B15" i="3"/>
  <c r="K6" i="3"/>
  <c r="H15" i="3"/>
  <c r="D15" i="3"/>
  <c r="K8" i="3"/>
  <c r="F15" i="3"/>
  <c r="K15" i="3"/>
  <c r="K13" i="3"/>
  <c r="K9" i="3"/>
  <c r="I15" i="3"/>
  <c r="K12" i="3"/>
  <c r="J15" i="3"/>
  <c r="K11" i="3"/>
  <c r="K14" i="3"/>
  <c r="E15" i="3"/>
  <c r="K7" i="3"/>
  <c r="K10" i="3"/>
  <c r="G15" i="3"/>
  <c r="C15" i="3" l="1"/>
  <c r="B16" i="3"/>
  <c r="L6" i="3"/>
  <c r="L8" i="3"/>
  <c r="L15" i="3"/>
  <c r="K16" i="3"/>
  <c r="L11" i="3"/>
  <c r="J16" i="3"/>
  <c r="L16" i="3"/>
  <c r="L12" i="3"/>
  <c r="L14" i="3"/>
  <c r="F16" i="3"/>
  <c r="L7" i="3"/>
  <c r="L13" i="3"/>
  <c r="I16" i="3"/>
  <c r="L9" i="3"/>
  <c r="L10" i="3"/>
  <c r="H16" i="3"/>
  <c r="G16" i="3"/>
  <c r="D16" i="3"/>
  <c r="E16" i="3"/>
  <c r="B17" i="3" l="1"/>
  <c r="C16" i="3"/>
  <c r="M6" i="3"/>
  <c r="M7" i="3"/>
  <c r="D17" i="3"/>
  <c r="M14" i="3"/>
  <c r="M13" i="3"/>
  <c r="M15" i="3"/>
  <c r="J17" i="3"/>
  <c r="M16" i="3"/>
  <c r="F17" i="3"/>
  <c r="M17" i="3"/>
  <c r="M9" i="3"/>
  <c r="E17" i="3"/>
  <c r="H17" i="3"/>
  <c r="I17" i="3"/>
  <c r="M12" i="3"/>
  <c r="L17" i="3"/>
  <c r="M10" i="3"/>
  <c r="K17" i="3"/>
  <c r="G17" i="3"/>
  <c r="M11" i="3"/>
  <c r="M8" i="3"/>
  <c r="B18" i="3" l="1"/>
  <c r="C17" i="3"/>
  <c r="N6" i="3"/>
  <c r="N9" i="3"/>
  <c r="N8" i="3"/>
  <c r="H18" i="3"/>
  <c r="N7" i="3"/>
  <c r="N11" i="3"/>
  <c r="D18" i="3"/>
  <c r="N12" i="3"/>
  <c r="E18" i="3"/>
  <c r="N10" i="3"/>
  <c r="N18" i="3"/>
  <c r="L18" i="3"/>
  <c r="N17" i="3"/>
  <c r="G18" i="3"/>
  <c r="N13" i="3"/>
  <c r="K18" i="3"/>
  <c r="F18" i="3"/>
  <c r="J18" i="3"/>
  <c r="N15" i="3"/>
  <c r="N16" i="3"/>
  <c r="I18" i="3"/>
  <c r="N14" i="3"/>
  <c r="M18" i="3"/>
  <c r="C18" i="3" l="1"/>
  <c r="B19" i="3"/>
  <c r="O6" i="3"/>
  <c r="O18" i="3"/>
  <c r="M19" i="3"/>
  <c r="O17" i="3"/>
  <c r="O13" i="3"/>
  <c r="D19" i="3"/>
  <c r="O15" i="3"/>
  <c r="H19" i="3"/>
  <c r="O7" i="3"/>
  <c r="O11" i="3"/>
  <c r="F19" i="3"/>
  <c r="O8" i="3"/>
  <c r="J19" i="3"/>
  <c r="I19" i="3"/>
  <c r="O14" i="3"/>
  <c r="O19" i="3"/>
  <c r="O10" i="3"/>
  <c r="K19" i="3"/>
  <c r="O9" i="3"/>
  <c r="O16" i="3"/>
  <c r="G19" i="3"/>
  <c r="O12" i="3"/>
  <c r="N19" i="3"/>
  <c r="E19" i="3"/>
  <c r="L19" i="3"/>
  <c r="C19" i="3" l="1"/>
  <c r="B20" i="3"/>
  <c r="P6" i="3"/>
  <c r="K20" i="3"/>
  <c r="P20" i="3"/>
  <c r="M20" i="3"/>
  <c r="F20" i="3"/>
  <c r="P8" i="3"/>
  <c r="L20" i="3"/>
  <c r="P9" i="3"/>
  <c r="P18" i="3"/>
  <c r="D20" i="3"/>
  <c r="N20" i="3"/>
  <c r="O20" i="3"/>
  <c r="P7" i="3"/>
  <c r="P15" i="3"/>
  <c r="P12" i="3"/>
  <c r="P13" i="3"/>
  <c r="I20" i="3"/>
  <c r="P10" i="3"/>
  <c r="E20" i="3"/>
  <c r="P11" i="3"/>
  <c r="P19" i="3"/>
  <c r="P17" i="3"/>
  <c r="G20" i="3"/>
  <c r="P14" i="3"/>
  <c r="P16" i="3"/>
  <c r="J20" i="3"/>
  <c r="C20" i="3" l="1"/>
  <c r="B21" i="3"/>
  <c r="Q6" i="3"/>
  <c r="Q10" i="3"/>
  <c r="M21" i="3"/>
  <c r="E21" i="3"/>
  <c r="Q20" i="3"/>
  <c r="G21" i="3"/>
  <c r="Q18" i="3"/>
  <c r="P21" i="3"/>
  <c r="H21" i="3"/>
  <c r="Q19" i="3"/>
  <c r="Q7" i="3"/>
  <c r="F21" i="3"/>
  <c r="I21" i="3"/>
  <c r="Q8" i="3"/>
  <c r="J21" i="3"/>
  <c r="N21" i="3"/>
  <c r="Q16" i="3"/>
  <c r="O21" i="3"/>
  <c r="K21" i="3"/>
  <c r="Q11" i="3"/>
  <c r="Q14" i="3"/>
  <c r="Q9" i="3"/>
  <c r="Q17" i="3"/>
  <c r="Q12" i="3"/>
  <c r="L21" i="3"/>
  <c r="Q21" i="3"/>
  <c r="Q13" i="3"/>
  <c r="Q15" i="3"/>
  <c r="D21" i="3"/>
  <c r="C21" i="3" l="1"/>
  <c r="B22" i="3"/>
  <c r="R6" i="3"/>
  <c r="R10" i="3"/>
  <c r="R17" i="3"/>
  <c r="R22" i="3"/>
  <c r="R14" i="3"/>
  <c r="R12" i="3"/>
  <c r="R13" i="3"/>
  <c r="L22" i="3"/>
  <c r="R19" i="3"/>
  <c r="M22" i="3"/>
  <c r="I22" i="3"/>
  <c r="E22" i="3"/>
  <c r="G22" i="3"/>
  <c r="R15" i="3"/>
  <c r="Q22" i="3"/>
  <c r="R7" i="3"/>
  <c r="O22" i="3"/>
  <c r="F22" i="3"/>
  <c r="P22" i="3"/>
  <c r="H22" i="3"/>
  <c r="R8" i="3"/>
  <c r="R20" i="3"/>
  <c r="R18" i="3"/>
  <c r="R11" i="3"/>
  <c r="N22" i="3"/>
  <c r="R9" i="3"/>
  <c r="D22" i="3"/>
  <c r="R16" i="3"/>
  <c r="K22" i="3"/>
  <c r="J22" i="3"/>
  <c r="B23" i="3" l="1"/>
  <c r="C22" i="3"/>
  <c r="S6" i="3"/>
  <c r="S23" i="3"/>
  <c r="Q23" i="3"/>
  <c r="S16" i="3"/>
  <c r="S7" i="3"/>
  <c r="M23" i="3"/>
  <c r="S10" i="3"/>
  <c r="S13" i="3"/>
  <c r="S11" i="3"/>
  <c r="S8" i="3"/>
  <c r="S19" i="3"/>
  <c r="E23" i="3"/>
  <c r="S22" i="3"/>
  <c r="S21" i="3"/>
  <c r="H23" i="3"/>
  <c r="S14" i="3"/>
  <c r="D23" i="3"/>
  <c r="S15" i="3"/>
  <c r="I23" i="3"/>
  <c r="P23" i="3"/>
  <c r="R23" i="3"/>
  <c r="S18" i="3"/>
  <c r="F23" i="3"/>
  <c r="L23" i="3"/>
  <c r="S9" i="3"/>
  <c r="G23" i="3"/>
  <c r="J23" i="3"/>
  <c r="N23" i="3"/>
  <c r="S20" i="3"/>
  <c r="S17" i="3"/>
  <c r="K23" i="3"/>
  <c r="O23" i="3"/>
  <c r="S12" i="3"/>
  <c r="B24" i="3" l="1"/>
  <c r="C23" i="3"/>
  <c r="T6" i="3"/>
  <c r="T21" i="3"/>
  <c r="R24" i="3"/>
  <c r="T24" i="3"/>
  <c r="H24" i="3"/>
  <c r="E24" i="3"/>
  <c r="T20" i="3"/>
  <c r="T10" i="3"/>
  <c r="I24" i="3"/>
  <c r="F24" i="3"/>
  <c r="D24" i="3"/>
  <c r="P24" i="3"/>
  <c r="T7" i="3"/>
  <c r="T19" i="3"/>
  <c r="O24" i="3"/>
  <c r="T11" i="3"/>
  <c r="S24" i="3"/>
  <c r="T18" i="3"/>
  <c r="N24" i="3"/>
  <c r="T8" i="3"/>
  <c r="T13" i="3"/>
  <c r="T15" i="3"/>
  <c r="T22" i="3"/>
  <c r="T23" i="3"/>
  <c r="K24" i="3"/>
  <c r="Q24" i="3"/>
  <c r="T14" i="3"/>
  <c r="J24" i="3"/>
  <c r="T12" i="3"/>
  <c r="M24" i="3"/>
  <c r="T9" i="3"/>
  <c r="T16" i="3"/>
  <c r="G24" i="3"/>
  <c r="L24" i="3"/>
  <c r="T17" i="3"/>
  <c r="C24" i="3" l="1"/>
  <c r="B29" i="2" s="1"/>
  <c r="B28" i="3"/>
  <c r="U6" i="3"/>
  <c r="U15" i="3"/>
  <c r="U16" i="3"/>
  <c r="U19" i="3"/>
  <c r="U9" i="3"/>
  <c r="U11" i="3"/>
  <c r="U24" i="3"/>
  <c r="U14" i="3"/>
  <c r="U20" i="3"/>
  <c r="U21" i="3"/>
  <c r="U17" i="3"/>
  <c r="U8" i="3"/>
  <c r="U18" i="3"/>
  <c r="U22" i="3"/>
  <c r="U7" i="3"/>
  <c r="U12" i="3"/>
  <c r="U13" i="3"/>
  <c r="U23" i="3"/>
  <c r="U10" i="3"/>
  <c r="V6" i="3" l="1"/>
  <c r="V19" i="3"/>
  <c r="V10" i="3"/>
  <c r="V8" i="3"/>
  <c r="V22" i="3"/>
  <c r="V16" i="3"/>
  <c r="V20" i="3"/>
  <c r="V13" i="3"/>
  <c r="V15" i="3"/>
  <c r="V17" i="3"/>
  <c r="V23" i="3"/>
  <c r="V18" i="3"/>
  <c r="V12" i="3"/>
  <c r="V11" i="3"/>
  <c r="V14" i="3"/>
  <c r="V24" i="3"/>
  <c r="V7" i="3"/>
  <c r="V21" i="3"/>
  <c r="V9" i="3"/>
  <c r="W6" i="3" l="1"/>
  <c r="W10" i="3"/>
  <c r="W20" i="3"/>
  <c r="W7" i="3"/>
  <c r="W22" i="3"/>
  <c r="W18" i="3"/>
  <c r="W23" i="3"/>
  <c r="W16" i="3"/>
  <c r="W8" i="3"/>
  <c r="W12" i="3"/>
  <c r="W17" i="3"/>
  <c r="W21" i="3"/>
  <c r="W24" i="3"/>
  <c r="W14" i="3"/>
  <c r="W9" i="3"/>
  <c r="W13" i="3"/>
  <c r="W19" i="3"/>
  <c r="W11" i="3"/>
  <c r="W15" i="3"/>
  <c r="X6" i="3" l="1"/>
  <c r="X13" i="3"/>
  <c r="X21" i="3"/>
  <c r="X11" i="3"/>
  <c r="X17" i="3"/>
  <c r="X9" i="3"/>
  <c r="X10" i="3"/>
  <c r="X8" i="3"/>
  <c r="X22" i="3"/>
  <c r="X23" i="3"/>
  <c r="X18" i="3"/>
  <c r="X20" i="3"/>
  <c r="X15" i="3"/>
  <c r="X7" i="3"/>
  <c r="X14" i="3"/>
  <c r="X12" i="3"/>
  <c r="X16" i="3"/>
  <c r="X19" i="3"/>
  <c r="X24" i="3"/>
  <c r="Y6" i="3" l="1"/>
  <c r="Y11" i="3"/>
  <c r="Y16" i="3"/>
  <c r="Y19" i="3"/>
  <c r="Y12" i="3"/>
  <c r="Y21" i="3"/>
  <c r="Y9" i="3"/>
  <c r="Y13" i="3"/>
  <c r="Y7" i="3"/>
  <c r="Y23" i="3"/>
  <c r="Y8" i="3"/>
  <c r="Y14" i="3"/>
  <c r="Y24" i="3"/>
  <c r="Y15" i="3"/>
  <c r="Y10" i="3"/>
  <c r="Y17" i="3"/>
  <c r="Y20" i="3"/>
  <c r="Y18" i="3"/>
  <c r="Y22" i="3"/>
  <c r="Z6" i="3" l="1"/>
  <c r="Z7" i="3"/>
  <c r="Z21" i="3"/>
  <c r="Z9" i="3"/>
  <c r="Z19" i="3"/>
  <c r="Z18" i="3"/>
  <c r="Z20" i="3"/>
  <c r="Z10" i="3"/>
  <c r="Z11" i="3"/>
  <c r="Z22" i="3"/>
  <c r="Z15" i="3"/>
  <c r="Z23" i="3"/>
  <c r="Z14" i="3"/>
  <c r="Z8" i="3"/>
  <c r="Z17" i="3"/>
  <c r="Z16" i="3"/>
  <c r="Z24" i="3"/>
  <c r="Z12" i="3"/>
  <c r="Z13" i="3"/>
  <c r="AA6" i="3" l="1"/>
  <c r="AA16" i="3"/>
  <c r="AA19" i="3"/>
  <c r="AA23" i="3"/>
  <c r="AA22" i="3"/>
  <c r="AA8" i="3"/>
  <c r="AA15" i="3"/>
  <c r="AA10" i="3"/>
  <c r="AA18" i="3"/>
  <c r="AA13" i="3"/>
  <c r="AA7" i="3"/>
  <c r="AA17" i="3"/>
  <c r="AA9" i="3"/>
  <c r="AA20" i="3"/>
  <c r="AA14" i="3"/>
  <c r="AA21" i="3"/>
  <c r="AA24" i="3"/>
  <c r="AA11" i="3"/>
  <c r="AA12" i="3"/>
  <c r="D33" i="3" l="1"/>
  <c r="AB6" i="3"/>
  <c r="E7" i="3"/>
  <c r="AB24" i="3"/>
  <c r="AB15" i="3"/>
  <c r="AB12" i="3"/>
  <c r="AB22" i="3"/>
  <c r="AB7" i="3"/>
  <c r="F9" i="3"/>
  <c r="D8" i="3"/>
  <c r="AB9" i="3"/>
  <c r="AB10" i="3"/>
  <c r="R21" i="3"/>
  <c r="AB18" i="3"/>
  <c r="H20" i="3"/>
  <c r="AB19" i="3"/>
  <c r="AB17" i="3"/>
  <c r="AB14" i="3"/>
  <c r="AB20" i="3"/>
  <c r="AB11" i="3"/>
  <c r="AB16" i="3"/>
  <c r="AB13" i="3"/>
  <c r="AB23" i="3"/>
  <c r="AB8" i="3"/>
  <c r="AB21" i="3"/>
  <c r="AI32" i="3" l="1"/>
  <c r="AC6" i="3"/>
  <c r="AC21" i="3"/>
  <c r="AC19" i="3"/>
  <c r="AC24" i="3"/>
  <c r="AC12" i="3"/>
  <c r="AC22" i="3"/>
  <c r="AC20" i="3"/>
  <c r="AC15" i="3"/>
  <c r="AC18" i="3"/>
  <c r="AC23" i="3"/>
  <c r="AC9" i="3"/>
  <c r="AC14" i="3"/>
  <c r="AC13" i="3"/>
  <c r="AC17" i="3"/>
  <c r="AC8" i="3"/>
  <c r="AC11" i="3"/>
  <c r="AC16" i="3"/>
  <c r="AC10" i="3"/>
  <c r="AC7" i="3"/>
  <c r="AD6" i="3" l="1"/>
  <c r="AD10" i="3"/>
  <c r="AD9" i="3"/>
  <c r="AD17" i="3"/>
  <c r="AD13" i="3"/>
  <c r="AD21" i="3"/>
  <c r="AD16" i="3"/>
  <c r="AD18" i="3"/>
  <c r="AD23" i="3"/>
  <c r="AD8" i="3"/>
  <c r="AD15" i="3"/>
  <c r="AD11" i="3"/>
  <c r="AD12" i="3"/>
  <c r="AD7" i="3"/>
  <c r="AD24" i="3"/>
  <c r="AD14" i="3"/>
  <c r="AD19" i="3"/>
  <c r="AD22" i="3"/>
  <c r="AD20" i="3"/>
  <c r="AE6" i="3" l="1"/>
  <c r="AE7" i="3"/>
  <c r="AE13" i="3"/>
  <c r="AE11" i="3"/>
  <c r="AE23" i="3"/>
  <c r="AE15" i="3"/>
  <c r="AE10" i="3"/>
  <c r="AE12" i="3"/>
  <c r="AE14" i="3"/>
  <c r="AE17" i="3"/>
  <c r="AE8" i="3"/>
  <c r="AE24" i="3"/>
  <c r="AE19" i="3"/>
  <c r="AE22" i="3"/>
  <c r="AE16" i="3"/>
  <c r="AE18" i="3"/>
  <c r="AE21" i="3"/>
  <c r="AE9" i="3"/>
  <c r="AE20" i="3"/>
  <c r="AF6" i="3" l="1"/>
  <c r="AF23" i="3"/>
  <c r="AF18" i="3"/>
  <c r="AF21" i="3"/>
  <c r="AF22" i="3"/>
  <c r="AF15" i="3"/>
  <c r="AF20" i="3"/>
  <c r="AF7" i="3"/>
  <c r="AF17" i="3"/>
  <c r="AF16" i="3"/>
  <c r="AF19" i="3"/>
  <c r="AF13" i="3"/>
  <c r="AF10" i="3"/>
  <c r="AF11" i="3"/>
  <c r="AF9" i="3"/>
  <c r="AF24" i="3"/>
  <c r="AF14" i="3"/>
  <c r="AF8" i="3"/>
  <c r="AF12" i="3"/>
  <c r="AG6" i="3" l="1"/>
  <c r="AG16" i="3"/>
  <c r="AG7" i="3"/>
  <c r="AG13" i="3"/>
  <c r="AG17" i="3"/>
  <c r="AG23" i="3"/>
  <c r="AG19" i="3"/>
  <c r="AG15" i="3"/>
  <c r="AG24" i="3"/>
  <c r="AG9" i="3"/>
  <c r="AG18" i="3"/>
  <c r="AG11" i="3"/>
  <c r="AG10" i="3"/>
  <c r="AG22" i="3"/>
  <c r="AG20" i="3"/>
  <c r="AG21" i="3"/>
  <c r="AG12" i="3"/>
  <c r="AG8" i="3"/>
  <c r="AG14" i="3"/>
  <c r="Z27" i="3" l="1"/>
  <c r="Z26" i="3" s="1"/>
  <c r="AG27" i="3"/>
  <c r="D34" i="3"/>
  <c r="AI33" i="3" s="1"/>
  <c r="B30" i="2"/>
  <c r="AE27" i="3" l="1"/>
  <c r="AB27" i="3"/>
  <c r="AF27" i="3"/>
  <c r="AD27" i="3"/>
  <c r="AC27" i="3"/>
  <c r="AA27" i="3"/>
  <c r="AG26" i="3"/>
</calcChain>
</file>

<file path=xl/sharedStrings.xml><?xml version="1.0" encoding="utf-8"?>
<sst xmlns="http://schemas.openxmlformats.org/spreadsheetml/2006/main" count="586" uniqueCount="43">
  <si>
    <t>Project Name</t>
  </si>
  <si>
    <t>Hours Required</t>
  </si>
  <si>
    <t>Project 1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</si>
  <si>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</si>
  <si>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</si>
  <si>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</si>
  <si>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</si>
  <si>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</si>
  <si>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</si>
  <si>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</si>
  <si>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</si>
  <si>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</si>
  <si>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Project 11</t>
  </si>
  <si>
    <t>Project 12</t>
  </si>
  <si>
    <t>Project 13</t>
  </si>
  <si>
    <t>Project 14</t>
  </si>
  <si>
    <t>Project 15</t>
  </si>
  <si>
    <t>Project 16</t>
  </si>
  <si>
    <t>Project 17</t>
  </si>
  <si>
    <t>Project 18</t>
  </si>
  <si>
    <t>Day Number</t>
  </si>
  <si>
    <t>Id</t>
  </si>
  <si>
    <t>Project Hour Gantt Chart</t>
  </si>
  <si>
    <t>Work Days</t>
  </si>
  <si>
    <t>Chart Setup</t>
  </si>
  <si>
    <t>Warning</t>
  </si>
  <si>
    <t>Hover space</t>
  </si>
  <si>
    <t>Current Row</t>
  </si>
  <si>
    <t>Current Column</t>
  </si>
  <si>
    <t>Day</t>
  </si>
  <si>
    <t>Hours</t>
  </si>
  <si>
    <r>
      <rPr>
        <sz val="10"/>
        <color theme="0" tint="-0.249977111117893"/>
        <rFont val="Segoe UI"/>
        <family val="2"/>
      </rPr>
      <t>■</t>
    </r>
    <r>
      <rPr>
        <sz val="10"/>
        <color theme="0" tint="-0.499984740745262"/>
        <rFont val="Segoe UI"/>
        <family val="2"/>
      </rPr>
      <t xml:space="preserve"> </t>
    </r>
    <r>
      <rPr>
        <sz val="10"/>
        <rFont val="Segoe UI"/>
        <family val="2"/>
      </rPr>
      <t>High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0.14999847407452621"/>
        <rFont val="Segoe UI"/>
        <family val="2"/>
      </rPr>
      <t>■</t>
    </r>
    <r>
      <rPr>
        <sz val="10"/>
        <color theme="0" tint="-0.34998626667073579"/>
        <rFont val="Segoe UI"/>
        <family val="2"/>
      </rPr>
      <t xml:space="preserve"> </t>
    </r>
    <r>
      <rPr>
        <sz val="10"/>
        <rFont val="Segoe UI"/>
        <family val="2"/>
      </rPr>
      <t>Warning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4.9989318521683403E-2"/>
        <rFont val="Segoe UI"/>
        <family val="2"/>
      </rPr>
      <t>■</t>
    </r>
    <r>
      <rPr>
        <sz val="10"/>
        <color theme="0" tint="-0.14999847407452621"/>
        <rFont val="Segoe UI"/>
        <family val="2"/>
      </rPr>
      <t xml:space="preserve"> </t>
    </r>
    <r>
      <rPr>
        <sz val="10"/>
        <rFont val="Segoe UI"/>
        <family val="2"/>
      </rPr>
      <t>Good</t>
    </r>
  </si>
  <si>
    <t>Selected Cell</t>
  </si>
  <si>
    <t>Hour Range</t>
  </si>
  <si>
    <t>Legend</t>
  </si>
  <si>
    <t>Days</t>
  </si>
  <si>
    <t>Location</t>
  </si>
  <si>
    <t>Total</t>
  </si>
  <si>
    <t>Good</t>
  </si>
  <si>
    <t>High</t>
  </si>
  <si>
    <t>Intermediate Table</t>
  </si>
  <si>
    <t>Average Hrs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</si>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</sst>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&quot;"/>
    <numFmt numFmtId="165" formatCode="0.0"/>
    <numFmt numFmtId="166" formatCode="0.000"/>
    <numFmt numFmtId="167" formatCode="0.00000"/>
    <numFmt numFmtId="168" formatCode=";;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9"/>
      <color theme="1"/>
      <name val="Segoe UI"/>
      <family val="2"/>
    </font>
    <font>
      <sz val="9"/>
      <color theme="6" tint="-0.499984740745262"/>
      <name val="Segoe UI"/>
      <family val="2"/>
    </font>
    <font>
      <sz val="14"/>
      <color theme="2" tint="-0.89999084444715716"/>
      <name val="Segoe UI Light"/>
      <family val="2"/>
    </font>
    <font>
      <i/>
      <sz val="10"/>
      <color rgb="FF323232"/>
      <name val="Arial"/>
      <family val="2"/>
    </font>
    <font>
      <sz val="9"/>
      <color theme="0" tint="-0.499984740745262"/>
      <name val="Segoe UI Light"/>
      <family val="2"/>
    </font>
    <font>
      <sz val="10"/>
      <color theme="2" tint="-0.89999084444715716"/>
      <name val="Segoe UI"/>
      <family val="2"/>
    </font>
    <font>
      <sz val="10"/>
      <name val="Segoe UI"/>
      <family val="2"/>
    </font>
    <font>
      <sz val="10"/>
      <color theme="0" tint="-0.499984740745262"/>
      <name val="Segoe UI"/>
      <family val="2"/>
    </font>
    <font>
      <sz val="10"/>
      <color theme="0" tint="-0.14999847407452621"/>
      <name val="Segoe UI"/>
      <family val="2"/>
    </font>
    <font>
      <sz val="10"/>
      <color theme="0" tint="-0.249977111117893"/>
      <name val="Segoe UI"/>
      <family val="2"/>
    </font>
    <font>
      <sz val="10"/>
      <color theme="0" tint="-0.34998626667073579"/>
      <name val="Segoe UI"/>
      <family val="2"/>
    </font>
    <font>
      <sz val="10"/>
      <color theme="0" tint="-4.9989318521683403E-2"/>
      <name val="Segoe UI"/>
      <family val="2"/>
    </font>
    <font>
      <sz val="11"/>
      <color theme="1"/>
      <name val="Segoe UI Semibold"/>
      <family val="2"/>
    </font>
    <font>
      <sz val="8"/>
      <color theme="1"/>
      <name val="Segoe UI"/>
      <family val="2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6" tint="0.79998168889431442"/>
      </left>
      <right/>
      <top style="thin">
        <color theme="6" tint="0.79998168889431442"/>
      </top>
      <bottom/>
      <diagonal/>
    </border>
    <border>
      <left/>
      <right/>
      <top style="thin">
        <color theme="6" tint="0.79998168889431442"/>
      </top>
      <bottom/>
      <diagonal/>
    </border>
    <border>
      <left/>
      <right style="thin">
        <color theme="6" tint="0.79998168889431442"/>
      </right>
      <top style="thin">
        <color theme="6" tint="0.79998168889431442"/>
      </top>
      <bottom/>
      <diagonal/>
    </border>
    <border>
      <left style="thin">
        <color theme="6" tint="0.79998168889431442"/>
      </left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 style="thin">
        <color theme="6" tint="0.79998168889431442"/>
      </left>
      <right/>
      <top/>
      <bottom style="thin">
        <color theme="6" tint="0.79998168889431442"/>
      </bottom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 style="hair">
        <color theme="0" tint="-4.9989318521683403E-2"/>
      </bottom>
      <diagonal/>
    </border>
    <border>
      <left/>
      <right/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thin">
        <color theme="6" tint="0.79998168889431442"/>
      </top>
      <bottom/>
      <diagonal/>
    </border>
    <border>
      <left/>
      <right style="hair">
        <color theme="0" tint="-4.9989318521683403E-2"/>
      </right>
      <top/>
      <bottom/>
      <diagonal/>
    </border>
    <border>
      <left/>
      <right style="hair">
        <color theme="0" tint="-4.9989318521683403E-2"/>
      </right>
      <top/>
      <bottom style="hair">
        <color theme="0" tint="-4.9989318521683403E-2"/>
      </bottom>
      <diagonal/>
    </border>
    <border>
      <left/>
      <right style="hair">
        <color theme="0" tint="-4.9989318521683403E-2"/>
      </right>
      <top/>
      <bottom style="thin">
        <color theme="6" tint="0.79998168889431442"/>
      </bottom>
      <diagonal/>
    </border>
    <border>
      <left style="hair">
        <color theme="0" tint="-4.9989318521683403E-2"/>
      </left>
      <right/>
      <top style="thin">
        <color theme="6" tint="0.79998168889431442"/>
      </top>
      <bottom/>
      <diagonal/>
    </border>
    <border>
      <left style="hair">
        <color theme="0" tint="-4.9989318521683403E-2"/>
      </left>
      <right/>
      <top/>
      <bottom/>
      <diagonal/>
    </border>
    <border>
      <left style="hair">
        <color theme="0" tint="-4.9989318521683403E-2"/>
      </left>
      <right/>
      <top/>
      <bottom style="hair">
        <color theme="0" tint="-4.9989318521683403E-2"/>
      </bottom>
      <diagonal/>
    </border>
    <border>
      <left style="hair">
        <color theme="0" tint="-4.9989318521683403E-2"/>
      </left>
      <right/>
      <top/>
      <bottom style="thin">
        <color theme="6" tint="0.7999816888943144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2" borderId="0" xfId="0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3" fillId="2" borderId="0" xfId="0" applyFont="1" applyFill="1"/>
    <xf numFmtId="0" fontId="0" fillId="2" borderId="0" xfId="0" applyNumberFormat="1" applyFill="1"/>
    <xf numFmtId="0" fontId="5" fillId="2" borderId="0" xfId="0" applyNumberFormat="1" applyFont="1" applyFill="1"/>
    <xf numFmtId="164" fontId="0" fillId="2" borderId="0" xfId="0" applyNumberFormat="1" applyFill="1" applyBorder="1"/>
    <xf numFmtId="0" fontId="0" fillId="0" borderId="0" xfId="0" applyAlignment="1">
      <alignment horizontal="right" indent="2"/>
    </xf>
    <xf numFmtId="0" fontId="0" fillId="2" borderId="0" xfId="0" applyFill="1" applyBorder="1"/>
    <xf numFmtId="0" fontId="6" fillId="2" borderId="1" xfId="0" applyFont="1" applyFill="1" applyBorder="1" applyAlignment="1">
      <alignment horizontal="left" vertical="center"/>
    </xf>
    <xf numFmtId="0" fontId="0" fillId="2" borderId="1" xfId="0" applyFill="1" applyBorder="1"/>
    <xf numFmtId="0" fontId="6" fillId="2" borderId="0" xfId="0" applyFont="1" applyFill="1" applyBorder="1" applyAlignment="1">
      <alignment horizontal="left" vertical="center"/>
    </xf>
    <xf numFmtId="0" fontId="5" fillId="2" borderId="2" xfId="0" applyFont="1" applyFill="1" applyBorder="1"/>
    <xf numFmtId="164" fontId="0" fillId="2" borderId="2" xfId="0" applyNumberFormat="1" applyFill="1" applyBorder="1"/>
    <xf numFmtId="0" fontId="0" fillId="2" borderId="2" xfId="0" applyFill="1" applyBorder="1"/>
    <xf numFmtId="0" fontId="5" fillId="2" borderId="2" xfId="0" applyNumberFormat="1" applyFont="1" applyFill="1" applyBorder="1"/>
    <xf numFmtId="166" fontId="0" fillId="0" borderId="0" xfId="0" applyNumberFormat="1"/>
    <xf numFmtId="165" fontId="0" fillId="0" borderId="0" xfId="0" applyNumberFormat="1"/>
    <xf numFmtId="167" fontId="7" fillId="0" borderId="0" xfId="0" applyNumberFormat="1" applyFont="1"/>
    <xf numFmtId="0" fontId="0" fillId="0" borderId="0" xfId="0" applyFill="1" applyBorder="1"/>
    <xf numFmtId="164" fontId="0" fillId="2" borderId="0" xfId="0" applyNumberFormat="1" applyFont="1" applyFill="1" applyBorder="1"/>
    <xf numFmtId="0" fontId="2" fillId="3" borderId="3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9" fillId="2" borderId="0" xfId="0" applyFont="1" applyFill="1" applyAlignment="1">
      <alignment horizontal="left" vertical="center" wrapText="1" indent="1"/>
    </xf>
    <xf numFmtId="164" fontId="0" fillId="2" borderId="6" xfId="0" applyNumberFormat="1" applyFill="1" applyBorder="1" applyAlignment="1">
      <alignment wrapText="1"/>
    </xf>
    <xf numFmtId="164" fontId="0" fillId="2" borderId="7" xfId="0" applyNumberFormat="1" applyFill="1" applyBorder="1" applyAlignment="1">
      <alignment wrapText="1"/>
    </xf>
    <xf numFmtId="164" fontId="0" fillId="2" borderId="8" xfId="0" applyNumberFormat="1" applyFill="1" applyBorder="1" applyAlignment="1">
      <alignment wrapText="1"/>
    </xf>
    <xf numFmtId="164" fontId="0" fillId="2" borderId="9" xfId="0" applyNumberFormat="1" applyFill="1" applyBorder="1" applyAlignment="1">
      <alignment wrapText="1"/>
    </xf>
    <xf numFmtId="164" fontId="0" fillId="2" borderId="0" xfId="0" applyNumberFormat="1" applyFill="1" applyBorder="1" applyAlignment="1">
      <alignment wrapText="1"/>
    </xf>
    <xf numFmtId="164" fontId="0" fillId="2" borderId="10" xfId="0" applyNumberFormat="1" applyFill="1" applyBorder="1" applyAlignment="1">
      <alignment wrapText="1"/>
    </xf>
    <xf numFmtId="164" fontId="0" fillId="2" borderId="11" xfId="0" applyNumberFormat="1" applyFill="1" applyBorder="1" applyAlignment="1">
      <alignment wrapText="1"/>
    </xf>
    <xf numFmtId="164" fontId="0" fillId="2" borderId="12" xfId="0" applyNumberFormat="1" applyFill="1" applyBorder="1" applyAlignment="1">
      <alignment wrapText="1"/>
    </xf>
    <xf numFmtId="164" fontId="0" fillId="2" borderId="13" xfId="0" applyNumberFormat="1" applyFill="1" applyBorder="1" applyAlignment="1">
      <alignment wrapText="1"/>
    </xf>
    <xf numFmtId="164" fontId="0" fillId="2" borderId="14" xfId="0" applyNumberFormat="1" applyFill="1" applyBorder="1" applyAlignment="1">
      <alignment wrapText="1"/>
    </xf>
    <xf numFmtId="164" fontId="0" fillId="2" borderId="15" xfId="0" applyNumberFormat="1" applyFill="1" applyBorder="1" applyAlignment="1">
      <alignment wrapText="1"/>
    </xf>
    <xf numFmtId="164" fontId="0" fillId="2" borderId="16" xfId="0" applyNumberFormat="1" applyFill="1" applyBorder="1" applyAlignment="1">
      <alignment wrapText="1"/>
    </xf>
    <xf numFmtId="0" fontId="5" fillId="2" borderId="16" xfId="0" applyFont="1" applyFill="1" applyBorder="1"/>
    <xf numFmtId="0" fontId="5" fillId="2" borderId="17" xfId="0" applyFont="1" applyFill="1" applyBorder="1"/>
    <xf numFmtId="0" fontId="5" fillId="2" borderId="10" xfId="0" applyFont="1" applyFill="1" applyBorder="1"/>
    <xf numFmtId="164" fontId="0" fillId="2" borderId="18" xfId="0" applyNumberFormat="1" applyFill="1" applyBorder="1" applyAlignment="1">
      <alignment wrapText="1"/>
    </xf>
    <xf numFmtId="164" fontId="0" fillId="2" borderId="19" xfId="0" applyNumberFormat="1" applyFill="1" applyBorder="1" applyAlignment="1">
      <alignment wrapText="1"/>
    </xf>
    <xf numFmtId="164" fontId="0" fillId="2" borderId="20" xfId="0" applyNumberFormat="1" applyFill="1" applyBorder="1" applyAlignment="1">
      <alignment wrapText="1"/>
    </xf>
    <xf numFmtId="164" fontId="0" fillId="2" borderId="21" xfId="0" applyNumberFormat="1" applyFill="1" applyBorder="1" applyAlignment="1">
      <alignment wrapText="1"/>
    </xf>
    <xf numFmtId="164" fontId="0" fillId="2" borderId="22" xfId="0" applyNumberFormat="1" applyFill="1" applyBorder="1" applyAlignment="1">
      <alignment wrapText="1"/>
    </xf>
    <xf numFmtId="164" fontId="0" fillId="2" borderId="23" xfId="0" applyNumberFormat="1" applyFill="1" applyBorder="1" applyAlignment="1">
      <alignment wrapText="1"/>
    </xf>
    <xf numFmtId="164" fontId="0" fillId="2" borderId="24" xfId="0" applyNumberFormat="1" applyFill="1" applyBorder="1" applyAlignment="1">
      <alignment wrapText="1"/>
    </xf>
    <xf numFmtId="164" fontId="0" fillId="2" borderId="25" xfId="0" applyNumberFormat="1" applyFill="1" applyBorder="1" applyAlignment="1">
      <alignment wrapText="1"/>
    </xf>
    <xf numFmtId="0" fontId="5" fillId="2" borderId="0" xfId="0" applyFont="1" applyFill="1" applyBorder="1"/>
    <xf numFmtId="168" fontId="0" fillId="2" borderId="2" xfId="0" applyNumberFormat="1" applyFill="1" applyBorder="1"/>
    <xf numFmtId="164" fontId="2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vertical="center" wrapText="1"/>
    </xf>
    <xf numFmtId="168" fontId="0" fillId="2" borderId="0" xfId="0" applyNumberFormat="1" applyFill="1" applyBorder="1" applyAlignment="1">
      <alignment wrapText="1"/>
    </xf>
    <xf numFmtId="0" fontId="0" fillId="0" borderId="2" xfId="0" applyBorder="1"/>
    <xf numFmtId="0" fontId="0" fillId="0" borderId="0" xfId="0" applyFill="1"/>
    <xf numFmtId="0" fontId="18" fillId="2" borderId="0" xfId="0" applyFont="1" applyFill="1"/>
    <xf numFmtId="0" fontId="0" fillId="2" borderId="28" xfId="0" applyFill="1" applyBorder="1"/>
    <xf numFmtId="0" fontId="0" fillId="2" borderId="28" xfId="0" applyNumberFormat="1" applyFill="1" applyBorder="1"/>
    <xf numFmtId="0" fontId="0" fillId="0" borderId="28" xfId="0" applyNumberFormat="1" applyFill="1" applyBorder="1"/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164" fontId="2" fillId="2" borderId="0" xfId="0" applyNumberFormat="1" applyFont="1" applyFill="1" applyBorder="1" applyAlignment="1">
      <alignment horizontal="left" vertical="center" wrapText="1"/>
    </xf>
    <xf numFmtId="164" fontId="0" fillId="2" borderId="26" xfId="0" applyNumberFormat="1" applyFill="1" applyBorder="1" applyAlignment="1">
      <alignment horizontal="center" wrapText="1"/>
    </xf>
    <xf numFmtId="164" fontId="0" fillId="2" borderId="27" xfId="0" applyNumberForma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vertical="center" wrapText="1"/>
    </xf>
    <xf numFmtId="164" fontId="16" fillId="2" borderId="0" xfId="0" applyNumberFormat="1" applyFont="1" applyFill="1" applyBorder="1" applyAlignment="1">
      <alignment horizontal="center" vertical="center" wrapText="1"/>
    </xf>
    <xf numFmtId="0" fontId="0" fillId="2" borderId="28" xfId="0" applyFont="1" applyFill="1" applyBorder="1" applyAlignment="1">
      <alignment horizontal="right"/>
    </xf>
    <xf numFmtId="0" fontId="0" fillId="2" borderId="28" xfId="0" applyFont="1" applyFill="1" applyBorder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EE8C8"/>
      <color rgb="FFFDB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70690272677218"/>
          <c:y val="3.7262308283358761E-2"/>
          <c:w val="0.85535759150269142"/>
          <c:h val="0.6973467132147480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Pt>
            <c:idx val="29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</c:dPt>
          <c:val>
            <c:numRef>
              <c:f>Calculation!$C$25:$AF$25</c:f>
              <c:numCache>
                <c:formatCode>General</c:formatCode>
                <c:ptCount val="3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Calculation!$C$26:$AF$26</c:f>
              <c:numCache>
                <c:formatCode>General</c:formatCode>
                <c:ptCount val="3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Calculation!$C$27:$AF$27</c:f>
              <c:numCache>
                <c:formatCode>General</c:formatCode>
                <c:ptCount val="3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22925584"/>
        <c:axId val="-184413139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/>
            </a:solidFill>
            <a:ln w="12700">
              <a:noFill/>
            </a:ln>
            <a:effectLst/>
          </c:spPr>
          <c:invertIfNegative val="0"/>
          <c:val>
            <c:numRef>
              <c:f>Calculation!$C$22:$AF$22</c:f>
              <c:numCache>
                <c:formatCode>General</c:formatCode>
                <c:ptCount val="30"/>
                <c:pt idx="0">
                  <c:v>5</c:v>
                </c:pt>
                <c:pt idx="1">
                  <c:v>15</c:v>
                </c:pt>
                <c:pt idx="2">
                  <c:v>20</c:v>
                </c:pt>
                <c:pt idx="3">
                  <c:v>28</c:v>
                </c:pt>
                <c:pt idx="4">
                  <c:v>28</c:v>
                </c:pt>
                <c:pt idx="5">
                  <c:v>36</c:v>
                </c:pt>
                <c:pt idx="6">
                  <c:v>51</c:v>
                </c:pt>
                <c:pt idx="7">
                  <c:v>62</c:v>
                </c:pt>
                <c:pt idx="8">
                  <c:v>90</c:v>
                </c:pt>
                <c:pt idx="9">
                  <c:v>94</c:v>
                </c:pt>
                <c:pt idx="10">
                  <c:v>86</c:v>
                </c:pt>
                <c:pt idx="11">
                  <c:v>83</c:v>
                </c:pt>
                <c:pt idx="12">
                  <c:v>78</c:v>
                </c:pt>
                <c:pt idx="13">
                  <c:v>78</c:v>
                </c:pt>
                <c:pt idx="14">
                  <c:v>83</c:v>
                </c:pt>
                <c:pt idx="15">
                  <c:v>74</c:v>
                </c:pt>
                <c:pt idx="16">
                  <c:v>61</c:v>
                </c:pt>
                <c:pt idx="17">
                  <c:v>57</c:v>
                </c:pt>
                <c:pt idx="18">
                  <c:v>49</c:v>
                </c:pt>
                <c:pt idx="19">
                  <c:v>47</c:v>
                </c:pt>
                <c:pt idx="20">
                  <c:v>32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12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1"/>
        <c:axId val="-1844126496"/>
        <c:axId val="-1844127040"/>
      </c:barChart>
      <c:catAx>
        <c:axId val="-2292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44131392"/>
        <c:crosses val="autoZero"/>
        <c:auto val="1"/>
        <c:lblAlgn val="ctr"/>
        <c:lblOffset val="100"/>
        <c:noMultiLvlLbl val="0"/>
      </c:catAx>
      <c:valAx>
        <c:axId val="-1844131392"/>
        <c:scaling>
          <c:orientation val="minMax"/>
          <c:max val="12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22925584"/>
        <c:crosses val="autoZero"/>
        <c:crossBetween val="between"/>
      </c:valAx>
      <c:valAx>
        <c:axId val="-1844127040"/>
        <c:scaling>
          <c:orientation val="minMax"/>
          <c:max val="12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-1844126496"/>
        <c:crosses val="max"/>
        <c:crossBetween val="between"/>
      </c:valAx>
      <c:catAx>
        <c:axId val="-1844126496"/>
        <c:scaling>
          <c:orientation val="minMax"/>
        </c:scaling>
        <c:delete val="1"/>
        <c:axPos val="b"/>
        <c:majorTickMark val="out"/>
        <c:minorTickMark val="none"/>
        <c:tickLblPos val="nextTo"/>
        <c:crossAx val="-1844127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3</xdr:row>
      <xdr:rowOff>0</xdr:rowOff>
    </xdr:from>
    <xdr:to>
      <xdr:col>33</xdr:col>
      <xdr:colOff>142875</xdr:colOff>
      <xdr:row>4</xdr:row>
      <xdr:rowOff>171448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6</xdr:row>
          <xdr:rowOff>0</xdr:rowOff>
        </xdr:from>
        <xdr:to>
          <xdr:col>10</xdr:col>
          <xdr:colOff>85725</xdr:colOff>
          <xdr:row>8</xdr:row>
          <xdr:rowOff>152400</xdr:rowOff>
        </xdr:to>
        <xdr:pic>
          <xdr:nvPicPr>
            <xdr:cNvPr id="7" name="Popup" hidden="1"/>
            <xdr:cNvPicPr>
              <a:picLocks noChangeAspect="1" noChangeArrowheads="1"/>
              <a:extLst>
                <a:ext uri="{84589F7E-364E-4C9E-8A38-B11213B215E9}">
                  <a14:cameraTool cellRange="$AI$31:$AI$33" spid="_x0000_s11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0" y="1419225"/>
              <a:ext cx="1552575" cy="533400"/>
            </a:xfrm>
            <a:prstGeom prst="rect">
              <a:avLst/>
            </a:prstGeom>
            <a:solidFill>
              <a:srgbClr val="FEE8C8"/>
            </a:solidFill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ProjectTable" displayName="ProjectTable" ref="A1:D541" totalsRowShown="0">
  <autoFilter ref="A1:D541"/>
  <tableColumns count="4">
    <tableColumn id="1" name="Id"/>
    <tableColumn id="2" name="Project Name"/>
    <tableColumn id="3" name="Day Number"/>
    <tableColumn id="4" name="Hours Requi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AJ82"/>
  <sheetViews>
    <sheetView tabSelected="1" zoomScaleNormal="100" workbookViewId="0">
      <selection activeCell="D7" sqref="D7"/>
    </sheetView>
  </sheetViews>
  <sheetFormatPr defaultRowHeight="15" x14ac:dyDescent="0.25"/>
  <cols>
    <col min="1" max="1" width="1.28515625" customWidth="1"/>
    <col min="2" max="2" width="2" customWidth="1"/>
    <col min="3" max="3" width="15" customWidth="1"/>
    <col min="4" max="33" width="4" customWidth="1"/>
    <col min="34" max="34" width="2.28515625" customWidth="1"/>
    <col min="35" max="35" width="23.28515625" customWidth="1"/>
    <col min="36" max="36" width="10.42578125" customWidth="1"/>
  </cols>
  <sheetData>
    <row r="1" spans="1:36" ht="5.25" customHeight="1" x14ac:dyDescent="0.25">
      <c r="A1" s="2"/>
      <c r="B1" s="2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2"/>
    </row>
    <row r="2" spans="1:36" ht="20.25" x14ac:dyDescent="0.25">
      <c r="A2" s="2"/>
      <c r="B2" s="2"/>
      <c r="C2" s="11" t="s">
        <v>22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2"/>
    </row>
    <row r="3" spans="1:36" ht="6" customHeight="1" x14ac:dyDescent="0.25">
      <c r="A3" s="2"/>
      <c r="B3" s="2"/>
      <c r="C3" s="13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2"/>
    </row>
    <row r="4" spans="1:36" ht="50.25" customHeight="1" x14ac:dyDescent="0.25">
      <c r="A4" s="2"/>
      <c r="B4" s="2"/>
      <c r="C4" s="26" t="s">
        <v>31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x14ac:dyDescent="0.25">
      <c r="A5" s="2"/>
      <c r="B5" s="2"/>
      <c r="C5" s="2"/>
      <c r="D5" s="62" t="s">
        <v>23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2"/>
      <c r="AI5" s="63"/>
      <c r="AJ5" s="2"/>
    </row>
    <row r="6" spans="1:36" x14ac:dyDescent="0.25">
      <c r="A6" s="2"/>
      <c r="B6" s="2"/>
      <c r="C6" s="2" t="s">
        <v>0</v>
      </c>
      <c r="D6" s="3">
        <f>Calculation!C3</f>
        <v>1</v>
      </c>
      <c r="E6" s="3">
        <f>Calculation!D3</f>
        <v>2</v>
      </c>
      <c r="F6" s="3">
        <f>Calculation!E3</f>
        <v>3</v>
      </c>
      <c r="G6" s="3">
        <f>Calculation!F3</f>
        <v>4</v>
      </c>
      <c r="H6" s="3">
        <f>Calculation!G3</f>
        <v>5</v>
      </c>
      <c r="I6" s="3">
        <f>Calculation!H3</f>
        <v>6</v>
      </c>
      <c r="J6" s="3">
        <f>Calculation!I3</f>
        <v>7</v>
      </c>
      <c r="K6" s="3">
        <f>Calculation!J3</f>
        <v>8</v>
      </c>
      <c r="L6" s="3">
        <f>Calculation!K3</f>
        <v>9</v>
      </c>
      <c r="M6" s="3">
        <f>Calculation!L3</f>
        <v>10</v>
      </c>
      <c r="N6" s="3">
        <f>Calculation!M3</f>
        <v>11</v>
      </c>
      <c r="O6" s="3">
        <f>Calculation!N3</f>
        <v>12</v>
      </c>
      <c r="P6" s="3">
        <f>Calculation!O3</f>
        <v>13</v>
      </c>
      <c r="Q6" s="3">
        <f>Calculation!P3</f>
        <v>14</v>
      </c>
      <c r="R6" s="3">
        <f>Calculation!Q3</f>
        <v>15</v>
      </c>
      <c r="S6" s="3">
        <f>Calculation!R3</f>
        <v>16</v>
      </c>
      <c r="T6" s="3">
        <f>Calculation!S3</f>
        <v>17</v>
      </c>
      <c r="U6" s="3">
        <f>Calculation!T3</f>
        <v>18</v>
      </c>
      <c r="V6" s="3">
        <f>Calculation!U3</f>
        <v>19</v>
      </c>
      <c r="W6" s="3">
        <f>Calculation!V3</f>
        <v>20</v>
      </c>
      <c r="X6" s="3">
        <f>Calculation!W3</f>
        <v>21</v>
      </c>
      <c r="Y6" s="3">
        <f>Calculation!X3</f>
        <v>22</v>
      </c>
      <c r="Z6" s="3">
        <f>Calculation!Y3</f>
        <v>23</v>
      </c>
      <c r="AA6" s="3">
        <f>Calculation!Z3</f>
        <v>24</v>
      </c>
      <c r="AB6" s="3">
        <f>Calculation!AA3</f>
        <v>25</v>
      </c>
      <c r="AC6" s="3">
        <f>Calculation!AB3</f>
        <v>26</v>
      </c>
      <c r="AD6" s="3">
        <f>Calculation!AC3</f>
        <v>27</v>
      </c>
      <c r="AE6" s="3">
        <f>Calculation!AD3</f>
        <v>28</v>
      </c>
      <c r="AF6" s="3">
        <f>Calculation!AE3</f>
        <v>29</v>
      </c>
      <c r="AG6" s="3">
        <f>Calculation!AF3</f>
        <v>30</v>
      </c>
      <c r="AH6" s="2"/>
      <c r="AI6" s="63"/>
      <c r="AJ6" s="2"/>
    </row>
    <row r="7" spans="1:36" x14ac:dyDescent="0.25">
      <c r="A7" s="2"/>
      <c r="B7" s="5">
        <v>1</v>
      </c>
      <c r="C7" s="40" t="str">
        <f>INDEX(Calculation!$B$4:$B$45,Dashboard!B7,1)</f>
        <v>Project 1</v>
      </c>
      <c r="D7" s="27">
        <f>IFERROR(HYPERLINK(RolloverCell($B7,D$6),D41),D41)</f>
        <v>5</v>
      </c>
      <c r="E7" s="28">
        <f>IFERROR(HYPERLINK(RolloverCell($B7,E$6),E41),E41)</f>
        <v>5</v>
      </c>
      <c r="F7" s="28">
        <f>IFERROR(HYPERLINK(RolloverCell($B7,F$6),F41),F41)</f>
        <v>4</v>
      </c>
      <c r="G7" s="28">
        <f>IFERROR(HYPERLINK(RolloverCell($B7,G$6),G41),G41)</f>
        <v>3</v>
      </c>
      <c r="H7" s="42">
        <f>IFERROR(HYPERLINK(RolloverCell($B7,H$6),H41),H41)</f>
        <v>2</v>
      </c>
      <c r="I7" s="46">
        <f>IFERROR(HYPERLINK(RolloverCell($B7,I$6),I41),I41)</f>
        <v>1</v>
      </c>
      <c r="J7" s="28">
        <f>IFERROR(HYPERLINK(RolloverCell($B7,J$6),J41),J41)</f>
        <v>0</v>
      </c>
      <c r="K7" s="28">
        <f>IFERROR(HYPERLINK(RolloverCell($B7,K$6),K41),K41)</f>
        <v>0</v>
      </c>
      <c r="L7" s="28">
        <f>IFERROR(HYPERLINK(RolloverCell($B7,L$6),L41),L41)</f>
        <v>0</v>
      </c>
      <c r="M7" s="42">
        <f>IFERROR(HYPERLINK(RolloverCell($B7,M$6),M41),M41)</f>
        <v>0</v>
      </c>
      <c r="N7" s="46">
        <f>IFERROR(HYPERLINK(RolloverCell($B7,N$6),N41),N41)</f>
        <v>0</v>
      </c>
      <c r="O7" s="28">
        <f>IFERROR(HYPERLINK(RolloverCell($B7,O$6),O41),O41)</f>
        <v>0</v>
      </c>
      <c r="P7" s="28">
        <f>IFERROR(HYPERLINK(RolloverCell($B7,P$6),P41),P41)</f>
        <v>0</v>
      </c>
      <c r="Q7" s="28">
        <f>IFERROR(HYPERLINK(RolloverCell($B7,Q$6),Q41),Q41)</f>
        <v>0</v>
      </c>
      <c r="R7" s="42">
        <f>IFERROR(HYPERLINK(RolloverCell($B7,R$6),R41),R41)</f>
        <v>0</v>
      </c>
      <c r="S7" s="46">
        <f>IFERROR(HYPERLINK(RolloverCell($B7,S$6),S41),S41)</f>
        <v>0</v>
      </c>
      <c r="T7" s="28">
        <f>IFERROR(HYPERLINK(RolloverCell($B7,T$6),T41),T41)</f>
        <v>0</v>
      </c>
      <c r="U7" s="28">
        <f>IFERROR(HYPERLINK(RolloverCell($B7,U$6),U41),U41)</f>
        <v>0</v>
      </c>
      <c r="V7" s="28">
        <f>IFERROR(HYPERLINK(RolloverCell($B7,V$6),V41),V41)</f>
        <v>0</v>
      </c>
      <c r="W7" s="42">
        <f>IFERROR(HYPERLINK(RolloverCell($B7,W$6),W41),W41)</f>
        <v>0</v>
      </c>
      <c r="X7" s="46">
        <f>IFERROR(HYPERLINK(RolloverCell($B7,X$6),X41),X41)</f>
        <v>0</v>
      </c>
      <c r="Y7" s="28">
        <f>IFERROR(HYPERLINK(RolloverCell($B7,Y$6),Y41),Y41)</f>
        <v>0</v>
      </c>
      <c r="Z7" s="28">
        <f>IFERROR(HYPERLINK(RolloverCell($B7,Z$6),Z41),Z41)</f>
        <v>0</v>
      </c>
      <c r="AA7" s="28">
        <f>IFERROR(HYPERLINK(RolloverCell($B7,AA$6),AA41),AA41)</f>
        <v>0</v>
      </c>
      <c r="AB7" s="42">
        <f>IFERROR(HYPERLINK(RolloverCell($B7,AB$6),AB41),AB41)</f>
        <v>0</v>
      </c>
      <c r="AC7" s="28">
        <f>IFERROR(HYPERLINK(RolloverCell($B7,AC$6),AC41),AC41)</f>
        <v>0</v>
      </c>
      <c r="AD7" s="28">
        <f>IFERROR(HYPERLINK(RolloverCell($B7,AD$6),AD41),AD41)</f>
        <v>0</v>
      </c>
      <c r="AE7" s="28">
        <f>IFERROR(HYPERLINK(RolloverCell($B7,AE$6),AE41),AE41)</f>
        <v>0</v>
      </c>
      <c r="AF7" s="28">
        <f>IFERROR(HYPERLINK(RolloverCell($B7,AF$6),AF41),AF41)</f>
        <v>0</v>
      </c>
      <c r="AG7" s="29">
        <f>IFERROR(HYPERLINK(RolloverCell($B7,AG$6),AG41),AG41)</f>
        <v>0</v>
      </c>
      <c r="AH7" s="2"/>
      <c r="AI7" s="7"/>
      <c r="AJ7" s="2"/>
    </row>
    <row r="8" spans="1:36" x14ac:dyDescent="0.25">
      <c r="A8" s="2"/>
      <c r="B8" s="5">
        <f>B7+1</f>
        <v>2</v>
      </c>
      <c r="C8" s="4" t="str">
        <f>INDEX(Calculation!$B$4:$B$45,Dashboard!B8,1)</f>
        <v>Project 2</v>
      </c>
      <c r="D8" s="30">
        <f>IFERROR(HYPERLINK(RolloverCell($B8,D$6),D42),D42)</f>
        <v>0</v>
      </c>
      <c r="E8" s="31">
        <f>IFERROR(HYPERLINK(RolloverCell($B8,E$6),E42),E42)</f>
        <v>6</v>
      </c>
      <c r="F8" s="31">
        <f>IFERROR(HYPERLINK(RolloverCell($B8,F$6),F42),F42)</f>
        <v>6</v>
      </c>
      <c r="G8" s="31">
        <f>IFERROR(HYPERLINK(RolloverCell($B8,G$6),G42),G42)</f>
        <v>5</v>
      </c>
      <c r="H8" s="43">
        <f>IFERROR(HYPERLINK(RolloverCell($B8,H$6),H42),H42)</f>
        <v>4</v>
      </c>
      <c r="I8" s="47">
        <f>IFERROR(HYPERLINK(RolloverCell($B8,I$6),I42),I42)</f>
        <v>3</v>
      </c>
      <c r="J8" s="31">
        <f>IFERROR(HYPERLINK(RolloverCell($B8,J$6),J42),J42)</f>
        <v>3</v>
      </c>
      <c r="K8" s="31">
        <f>IFERROR(HYPERLINK(RolloverCell($B8,K$6),K42),K42)</f>
        <v>3</v>
      </c>
      <c r="L8" s="31">
        <f>IFERROR(HYPERLINK(RolloverCell($B8,L$6),L42),L42)</f>
        <v>2</v>
      </c>
      <c r="M8" s="43">
        <f>IFERROR(HYPERLINK(RolloverCell($B8,M$6),M42),M42)</f>
        <v>1</v>
      </c>
      <c r="N8" s="47">
        <f>IFERROR(HYPERLINK(RolloverCell($B8,N$6),N42),N42)</f>
        <v>0</v>
      </c>
      <c r="O8" s="31">
        <f>IFERROR(HYPERLINK(RolloverCell($B8,O$6),O42),O42)</f>
        <v>0</v>
      </c>
      <c r="P8" s="31">
        <f>IFERROR(HYPERLINK(RolloverCell($B8,P$6),P42),P42)</f>
        <v>0</v>
      </c>
      <c r="Q8" s="31">
        <f>IFERROR(HYPERLINK(RolloverCell($B8,Q$6),Q42),Q42)</f>
        <v>0</v>
      </c>
      <c r="R8" s="43">
        <f>IFERROR(HYPERLINK(RolloverCell($B8,R$6),R42),R42)</f>
        <v>0</v>
      </c>
      <c r="S8" s="47">
        <f>IFERROR(HYPERLINK(RolloverCell($B8,S$6),S42),S42)</f>
        <v>0</v>
      </c>
      <c r="T8" s="31">
        <f>IFERROR(HYPERLINK(RolloverCell($B8,T$6),T42),T42)</f>
        <v>0</v>
      </c>
      <c r="U8" s="31">
        <f>IFERROR(HYPERLINK(RolloverCell($B8,U$6),U42),U42)</f>
        <v>0</v>
      </c>
      <c r="V8" s="31">
        <f>IFERROR(HYPERLINK(RolloverCell($B8,V$6),V42),V42)</f>
        <v>0</v>
      </c>
      <c r="W8" s="43">
        <f>IFERROR(HYPERLINK(RolloverCell($B8,W$6),W42),W42)</f>
        <v>0</v>
      </c>
      <c r="X8" s="47">
        <f>IFERROR(HYPERLINK(RolloverCell($B8,X$6),X42),X42)</f>
        <v>0</v>
      </c>
      <c r="Y8" s="31">
        <f>IFERROR(HYPERLINK(RolloverCell($B8,Y$6),Y42),Y42)</f>
        <v>0</v>
      </c>
      <c r="Z8" s="31">
        <f>IFERROR(HYPERLINK(RolloverCell($B8,Z$6),Z42),Z42)</f>
        <v>0</v>
      </c>
      <c r="AA8" s="31">
        <f>IFERROR(HYPERLINK(RolloverCell($B8,AA$6),AA42),AA42)</f>
        <v>0</v>
      </c>
      <c r="AB8" s="43">
        <f>IFERROR(HYPERLINK(RolloverCell($B8,AB$6),AB42),AB42)</f>
        <v>0</v>
      </c>
      <c r="AC8" s="31">
        <f>IFERROR(HYPERLINK(RolloverCell($B8,AC$6),AC42),AC42)</f>
        <v>0</v>
      </c>
      <c r="AD8" s="31">
        <f>IFERROR(HYPERLINK(RolloverCell($B8,AD$6),AD42),AD42)</f>
        <v>0</v>
      </c>
      <c r="AE8" s="31">
        <f>IFERROR(HYPERLINK(RolloverCell($B8,AE$6),AE42),AE42)</f>
        <v>0</v>
      </c>
      <c r="AF8" s="31">
        <f>IFERROR(HYPERLINK(RolloverCell($B8,AF$6),AF42),AF42)</f>
        <v>0</v>
      </c>
      <c r="AG8" s="32">
        <f>IFERROR(HYPERLINK(RolloverCell($B8,AG$6),AG42),AG42)</f>
        <v>0</v>
      </c>
      <c r="AH8" s="2"/>
      <c r="AI8" s="7"/>
      <c r="AJ8" s="2"/>
    </row>
    <row r="9" spans="1:36" x14ac:dyDescent="0.25">
      <c r="A9" s="2"/>
      <c r="B9" s="5">
        <f t="shared" ref="B9:B24" si="0">B8+1</f>
        <v>3</v>
      </c>
      <c r="C9" s="4" t="str">
        <f>INDEX(Calculation!$B$4:$B$45,Dashboard!B9,1)</f>
        <v>Project 3</v>
      </c>
      <c r="D9" s="30">
        <f>IFERROR(HYPERLINK(RolloverCell($B9,D$6),D43),D43)</f>
        <v>0</v>
      </c>
      <c r="E9" s="31">
        <f>IFERROR(HYPERLINK(RolloverCell($B9,E$6),E43),E43)</f>
        <v>4</v>
      </c>
      <c r="F9" s="31">
        <f>IFERROR(HYPERLINK(RolloverCell($B9,F$6),F43),F43)</f>
        <v>5</v>
      </c>
      <c r="G9" s="31">
        <f>IFERROR(HYPERLINK(RolloverCell($B9,G$6),G43),G43)</f>
        <v>6</v>
      </c>
      <c r="H9" s="43">
        <f>IFERROR(HYPERLINK(RolloverCell($B9,H$6),H43),H43)</f>
        <v>7</v>
      </c>
      <c r="I9" s="47">
        <f>IFERROR(HYPERLINK(RolloverCell($B9,I$6),I43),I43)</f>
        <v>7</v>
      </c>
      <c r="J9" s="31">
        <f>IFERROR(HYPERLINK(RolloverCell($B9,J$6),J43),J43)</f>
        <v>6</v>
      </c>
      <c r="K9" s="31">
        <f>IFERROR(HYPERLINK(RolloverCell($B9,K$6),K43),K43)</f>
        <v>6</v>
      </c>
      <c r="L9" s="31">
        <f>IFERROR(HYPERLINK(RolloverCell($B9,L$6),L43),L43)</f>
        <v>5</v>
      </c>
      <c r="M9" s="43">
        <f>IFERROR(HYPERLINK(RolloverCell($B9,M$6),M43),M43)</f>
        <v>4</v>
      </c>
      <c r="N9" s="47">
        <f>IFERROR(HYPERLINK(RolloverCell($B9,N$6),N43),N43)</f>
        <v>3</v>
      </c>
      <c r="O9" s="31">
        <f>IFERROR(HYPERLINK(RolloverCell($B9,O$6),O43),O43)</f>
        <v>2</v>
      </c>
      <c r="P9" s="31">
        <f>IFERROR(HYPERLINK(RolloverCell($B9,P$6),P43),P43)</f>
        <v>1</v>
      </c>
      <c r="Q9" s="31">
        <f>IFERROR(HYPERLINK(RolloverCell($B9,Q$6),Q43),Q43)</f>
        <v>0</v>
      </c>
      <c r="R9" s="43">
        <f>IFERROR(HYPERLINK(RolloverCell($B9,R$6),R43),R43)</f>
        <v>0</v>
      </c>
      <c r="S9" s="47">
        <f>IFERROR(HYPERLINK(RolloverCell($B9,S$6),S43),S43)</f>
        <v>0</v>
      </c>
      <c r="T9" s="31">
        <f>IFERROR(HYPERLINK(RolloverCell($B9,T$6),T43),T43)</f>
        <v>0</v>
      </c>
      <c r="U9" s="31">
        <f>IFERROR(HYPERLINK(RolloverCell($B9,U$6),U43),U43)</f>
        <v>0</v>
      </c>
      <c r="V9" s="31">
        <f>IFERROR(HYPERLINK(RolloverCell($B9,V$6),V43),V43)</f>
        <v>0</v>
      </c>
      <c r="W9" s="43">
        <f>IFERROR(HYPERLINK(RolloverCell($B9,W$6),W43),W43)</f>
        <v>0</v>
      </c>
      <c r="X9" s="47">
        <f>IFERROR(HYPERLINK(RolloverCell($B9,X$6),X43),X43)</f>
        <v>0</v>
      </c>
      <c r="Y9" s="31">
        <f>IFERROR(HYPERLINK(RolloverCell($B9,Y$6),Y43),Y43)</f>
        <v>0</v>
      </c>
      <c r="Z9" s="31">
        <f>IFERROR(HYPERLINK(RolloverCell($B9,Z$6),Z43),Z43)</f>
        <v>0</v>
      </c>
      <c r="AA9" s="31">
        <f>IFERROR(HYPERLINK(RolloverCell($B9,AA$6),AA43),AA43)</f>
        <v>0</v>
      </c>
      <c r="AB9" s="43">
        <f>IFERROR(HYPERLINK(RolloverCell($B9,AB$6),AB43),AB43)</f>
        <v>0</v>
      </c>
      <c r="AC9" s="31">
        <f>IFERROR(HYPERLINK(RolloverCell($B9,AC$6),AC43),AC43)</f>
        <v>0</v>
      </c>
      <c r="AD9" s="31">
        <f>IFERROR(HYPERLINK(RolloverCell($B9,AD$6),AD43),AD43)</f>
        <v>0</v>
      </c>
      <c r="AE9" s="31">
        <f>IFERROR(HYPERLINK(RolloverCell($B9,AE$6),AE43),AE43)</f>
        <v>0</v>
      </c>
      <c r="AF9" s="31">
        <f>IFERROR(HYPERLINK(RolloverCell($B9,AF$6),AF43),AF43)</f>
        <v>0</v>
      </c>
      <c r="AG9" s="32">
        <f>IFERROR(HYPERLINK(RolloverCell($B9,AG$6),AG43),AG43)</f>
        <v>0</v>
      </c>
      <c r="AH9" s="2"/>
      <c r="AI9" s="7"/>
      <c r="AJ9" s="2"/>
    </row>
    <row r="10" spans="1:36" x14ac:dyDescent="0.25">
      <c r="A10" s="2"/>
      <c r="B10" s="5">
        <f t="shared" si="0"/>
        <v>4</v>
      </c>
      <c r="C10" s="4" t="str">
        <f>INDEX(Calculation!$B$4:$B$45,Dashboard!B10,1)</f>
        <v>Project 4</v>
      </c>
      <c r="D10" s="30">
        <f>IFERROR(HYPERLINK(RolloverCell($B10,D$6),D44),D44)</f>
        <v>0</v>
      </c>
      <c r="E10" s="31">
        <f>IFERROR(HYPERLINK(RolloverCell($B10,E$6),E44),E44)</f>
        <v>0</v>
      </c>
      <c r="F10" s="31">
        <f>IFERROR(HYPERLINK(RolloverCell($B10,F$6),F44),F44)</f>
        <v>5</v>
      </c>
      <c r="G10" s="31">
        <f>IFERROR(HYPERLINK(RolloverCell($B10,G$6),G44),G44)</f>
        <v>6</v>
      </c>
      <c r="H10" s="43">
        <f>IFERROR(HYPERLINK(RolloverCell($B10,H$6),H44),H44)</f>
        <v>6</v>
      </c>
      <c r="I10" s="47">
        <f>IFERROR(HYPERLINK(RolloverCell($B10,I$6),I44),I44)</f>
        <v>6</v>
      </c>
      <c r="J10" s="31">
        <f>IFERROR(HYPERLINK(RolloverCell($B10,J$6),J44),J44)</f>
        <v>7</v>
      </c>
      <c r="K10" s="31">
        <f>IFERROR(HYPERLINK(RolloverCell($B10,K$6),K44),K44)</f>
        <v>7</v>
      </c>
      <c r="L10" s="31">
        <f>IFERROR(HYPERLINK(RolloverCell($B10,L$6),L44),L44)</f>
        <v>10</v>
      </c>
      <c r="M10" s="43">
        <f>IFERROR(HYPERLINK(RolloverCell($B10,M$6),M44),M44)</f>
        <v>10</v>
      </c>
      <c r="N10" s="47">
        <f>IFERROR(HYPERLINK(RolloverCell($B10,N$6),N44),N44)</f>
        <v>9</v>
      </c>
      <c r="O10" s="31">
        <f>IFERROR(HYPERLINK(RolloverCell($B10,O$6),O44),O44)</f>
        <v>9</v>
      </c>
      <c r="P10" s="31">
        <f>IFERROR(HYPERLINK(RolloverCell($B10,P$6),P44),P44)</f>
        <v>9</v>
      </c>
      <c r="Q10" s="31">
        <f>IFERROR(HYPERLINK(RolloverCell($B10,Q$6),Q44),Q44)</f>
        <v>9</v>
      </c>
      <c r="R10" s="43">
        <f>IFERROR(HYPERLINK(RolloverCell($B10,R$6),R44),R44)</f>
        <v>9</v>
      </c>
      <c r="S10" s="47">
        <f>IFERROR(HYPERLINK(RolloverCell($B10,S$6),S44),S44)</f>
        <v>9</v>
      </c>
      <c r="T10" s="31">
        <f>IFERROR(HYPERLINK(RolloverCell($B10,T$6),T44),T44)</f>
        <v>9</v>
      </c>
      <c r="U10" s="31">
        <f>IFERROR(HYPERLINK(RolloverCell($B10,U$6),U44),U44)</f>
        <v>8</v>
      </c>
      <c r="V10" s="31">
        <f>IFERROR(HYPERLINK(RolloverCell($B10,V$6),V44),V44)</f>
        <v>8</v>
      </c>
      <c r="W10" s="43">
        <f>IFERROR(HYPERLINK(RolloverCell($B10,W$6),W44),W44)</f>
        <v>8</v>
      </c>
      <c r="X10" s="47">
        <f>IFERROR(HYPERLINK(RolloverCell($B10,X$6),X44),X44)</f>
        <v>8</v>
      </c>
      <c r="Y10" s="31">
        <f>IFERROR(HYPERLINK(RolloverCell($B10,Y$6),Y44),Y44)</f>
        <v>8</v>
      </c>
      <c r="Z10" s="31">
        <f>IFERROR(HYPERLINK(RolloverCell($B10,Z$6),Z44),Z44)</f>
        <v>8</v>
      </c>
      <c r="AA10" s="31">
        <f>IFERROR(HYPERLINK(RolloverCell($B10,AA$6),AA44),AA44)</f>
        <v>8</v>
      </c>
      <c r="AB10" s="43">
        <f>IFERROR(HYPERLINK(RolloverCell($B10,AB$6),AB44),AB44)</f>
        <v>0</v>
      </c>
      <c r="AC10" s="31">
        <f>IFERROR(HYPERLINK(RolloverCell($B10,AC$6),AC44),AC44)</f>
        <v>0</v>
      </c>
      <c r="AD10" s="31">
        <f>IFERROR(HYPERLINK(RolloverCell($B10,AD$6),AD44),AD44)</f>
        <v>0</v>
      </c>
      <c r="AE10" s="31">
        <f>IFERROR(HYPERLINK(RolloverCell($B10,AE$6),AE44),AE44)</f>
        <v>0</v>
      </c>
      <c r="AF10" s="31">
        <f>IFERROR(HYPERLINK(RolloverCell($B10,AF$6),AF44),AF44)</f>
        <v>0</v>
      </c>
      <c r="AG10" s="32">
        <f>IFERROR(HYPERLINK(RolloverCell($B10,AG$6),AG44),AG44)</f>
        <v>0</v>
      </c>
      <c r="AH10" s="2"/>
      <c r="AI10" s="7"/>
      <c r="AJ10" s="2"/>
    </row>
    <row r="11" spans="1:36" x14ac:dyDescent="0.25">
      <c r="A11" s="2"/>
      <c r="B11" s="5">
        <f t="shared" si="0"/>
        <v>5</v>
      </c>
      <c r="C11" s="39" t="str">
        <f>INDEX(Calculation!$B$4:$B$45,Dashboard!B11,1)</f>
        <v>Project 5</v>
      </c>
      <c r="D11" s="36">
        <f>IFERROR(HYPERLINK(RolloverCell($B11,D$6),D45),D45)</f>
        <v>0</v>
      </c>
      <c r="E11" s="37">
        <f>IFERROR(HYPERLINK(RolloverCell($B11,E$6),E45),E45)</f>
        <v>0</v>
      </c>
      <c r="F11" s="37">
        <f>IFERROR(HYPERLINK(RolloverCell($B11,F$6),F45),F45)</f>
        <v>0</v>
      </c>
      <c r="G11" s="37">
        <f>IFERROR(HYPERLINK(RolloverCell($B11,G$6),G45),G45)</f>
        <v>4</v>
      </c>
      <c r="H11" s="44">
        <f>IFERROR(HYPERLINK(RolloverCell($B11,H$6),H45),H45)</f>
        <v>4</v>
      </c>
      <c r="I11" s="48">
        <f>IFERROR(HYPERLINK(RolloverCell($B11,I$6),I45),I45)</f>
        <v>5</v>
      </c>
      <c r="J11" s="37">
        <f>IFERROR(HYPERLINK(RolloverCell($B11,J$6),J45),J45)</f>
        <v>5</v>
      </c>
      <c r="K11" s="37">
        <f>IFERROR(HYPERLINK(RolloverCell($B11,K$6),K45),K45)</f>
        <v>5</v>
      </c>
      <c r="L11" s="37">
        <f>IFERROR(HYPERLINK(RolloverCell($B11,L$6),L45),L45)</f>
        <v>4</v>
      </c>
      <c r="M11" s="44">
        <f>IFERROR(HYPERLINK(RolloverCell($B11,M$6),M45),M45)</f>
        <v>4</v>
      </c>
      <c r="N11" s="48">
        <f>IFERROR(HYPERLINK(RolloverCell($B11,N$6),N45),N45)</f>
        <v>3</v>
      </c>
      <c r="O11" s="37">
        <f>IFERROR(HYPERLINK(RolloverCell($B11,O$6),O45),O45)</f>
        <v>2</v>
      </c>
      <c r="P11" s="37">
        <f>IFERROR(HYPERLINK(RolloverCell($B11,P$6),P45),P45)</f>
        <v>1</v>
      </c>
      <c r="Q11" s="37">
        <f>IFERROR(HYPERLINK(RolloverCell($B11,Q$6),Q45),Q45)</f>
        <v>1</v>
      </c>
      <c r="R11" s="44">
        <f>IFERROR(HYPERLINK(RolloverCell($B11,R$6),R45),R45)</f>
        <v>0</v>
      </c>
      <c r="S11" s="48">
        <f>IFERROR(HYPERLINK(RolloverCell($B11,S$6),S45),S45)</f>
        <v>0</v>
      </c>
      <c r="T11" s="37">
        <f>IFERROR(HYPERLINK(RolloverCell($B11,T$6),T45),T45)</f>
        <v>0</v>
      </c>
      <c r="U11" s="37">
        <f>IFERROR(HYPERLINK(RolloverCell($B11,U$6),U45),U45)</f>
        <v>0</v>
      </c>
      <c r="V11" s="37">
        <f>IFERROR(HYPERLINK(RolloverCell($B11,V$6),V45),V45)</f>
        <v>0</v>
      </c>
      <c r="W11" s="44">
        <f>IFERROR(HYPERLINK(RolloverCell($B11,W$6),W45),W45)</f>
        <v>0</v>
      </c>
      <c r="X11" s="48">
        <f>IFERROR(HYPERLINK(RolloverCell($B11,X$6),X45),X45)</f>
        <v>0</v>
      </c>
      <c r="Y11" s="37">
        <f>IFERROR(HYPERLINK(RolloverCell($B11,Y$6),Y45),Y45)</f>
        <v>0</v>
      </c>
      <c r="Z11" s="37">
        <f>IFERROR(HYPERLINK(RolloverCell($B11,Z$6),Z45),Z45)</f>
        <v>0</v>
      </c>
      <c r="AA11" s="37">
        <f>IFERROR(HYPERLINK(RolloverCell($B11,AA$6),AA45),AA45)</f>
        <v>0</v>
      </c>
      <c r="AB11" s="44">
        <f>IFERROR(HYPERLINK(RolloverCell($B11,AB$6),AB45),AB45)</f>
        <v>0</v>
      </c>
      <c r="AC11" s="37">
        <f>IFERROR(HYPERLINK(RolloverCell($B11,AC$6),AC45),AC45)</f>
        <v>0</v>
      </c>
      <c r="AD11" s="37">
        <f>IFERROR(HYPERLINK(RolloverCell($B11,AD$6),AD45),AD45)</f>
        <v>0</v>
      </c>
      <c r="AE11" s="37">
        <f>IFERROR(HYPERLINK(RolloverCell($B11,AE$6),AE45),AE45)</f>
        <v>0</v>
      </c>
      <c r="AF11" s="37">
        <f>IFERROR(HYPERLINK(RolloverCell($B11,AF$6),AF45),AF45)</f>
        <v>0</v>
      </c>
      <c r="AG11" s="38">
        <f>IFERROR(HYPERLINK(RolloverCell($B11,AG$6),AG45),AG45)</f>
        <v>0</v>
      </c>
      <c r="AH11" s="2"/>
      <c r="AI11" s="7"/>
      <c r="AJ11" s="2"/>
    </row>
    <row r="12" spans="1:36" x14ac:dyDescent="0.25">
      <c r="A12" s="2"/>
      <c r="B12" s="5">
        <f t="shared" si="0"/>
        <v>6</v>
      </c>
      <c r="C12" s="40" t="str">
        <f>INDEX(Calculation!$B$4:$B$45,Dashboard!B12,1)</f>
        <v>Project 6</v>
      </c>
      <c r="D12" s="30">
        <f>IFERROR(HYPERLINK(RolloverCell($B12,D$6),D46),D46)</f>
        <v>0</v>
      </c>
      <c r="E12" s="31">
        <f>IFERROR(HYPERLINK(RolloverCell($B12,E$6),E46),E46)</f>
        <v>0</v>
      </c>
      <c r="F12" s="31">
        <f>IFERROR(HYPERLINK(RolloverCell($B12,F$6),F46),F46)</f>
        <v>0</v>
      </c>
      <c r="G12" s="31">
        <f>IFERROR(HYPERLINK(RolloverCell($B12,G$6),G46),G46)</f>
        <v>4</v>
      </c>
      <c r="H12" s="43">
        <f>IFERROR(HYPERLINK(RolloverCell($B12,H$6),H46),H46)</f>
        <v>5</v>
      </c>
      <c r="I12" s="47">
        <f>IFERROR(HYPERLINK(RolloverCell($B12,I$6),I46),I46)</f>
        <v>6</v>
      </c>
      <c r="J12" s="31">
        <f>IFERROR(HYPERLINK(RolloverCell($B12,J$6),J46),J46)</f>
        <v>6</v>
      </c>
      <c r="K12" s="31">
        <f>IFERROR(HYPERLINK(RolloverCell($B12,K$6),K46),K46)</f>
        <v>5</v>
      </c>
      <c r="L12" s="31">
        <f>IFERROR(HYPERLINK(RolloverCell($B12,L$6),L46),L46)</f>
        <v>4</v>
      </c>
      <c r="M12" s="43">
        <f>IFERROR(HYPERLINK(RolloverCell($B12,M$6),M46),M46)</f>
        <v>3</v>
      </c>
      <c r="N12" s="47">
        <f>IFERROR(HYPERLINK(RolloverCell($B12,N$6),N46),N46)</f>
        <v>0</v>
      </c>
      <c r="O12" s="31">
        <f>IFERROR(HYPERLINK(RolloverCell($B12,O$6),O46),O46)</f>
        <v>0</v>
      </c>
      <c r="P12" s="31">
        <f>IFERROR(HYPERLINK(RolloverCell($B12,P$6),P46),P46)</f>
        <v>0</v>
      </c>
      <c r="Q12" s="31">
        <f>IFERROR(HYPERLINK(RolloverCell($B12,Q$6),Q46),Q46)</f>
        <v>0</v>
      </c>
      <c r="R12" s="43">
        <f>IFERROR(HYPERLINK(RolloverCell($B12,R$6),R46),R46)</f>
        <v>0</v>
      </c>
      <c r="S12" s="47">
        <f>IFERROR(HYPERLINK(RolloverCell($B12,S$6),S46),S46)</f>
        <v>0</v>
      </c>
      <c r="T12" s="31">
        <f>IFERROR(HYPERLINK(RolloverCell($B12,T$6),T46),T46)</f>
        <v>0</v>
      </c>
      <c r="U12" s="31">
        <f>IFERROR(HYPERLINK(RolloverCell($B12,U$6),U46),U46)</f>
        <v>0</v>
      </c>
      <c r="V12" s="31">
        <f>IFERROR(HYPERLINK(RolloverCell($B12,V$6),V46),V46)</f>
        <v>0</v>
      </c>
      <c r="W12" s="43">
        <f>IFERROR(HYPERLINK(RolloverCell($B12,W$6),W46),W46)</f>
        <v>0</v>
      </c>
      <c r="X12" s="47">
        <f>IFERROR(HYPERLINK(RolloverCell($B12,X$6),X46),X46)</f>
        <v>0</v>
      </c>
      <c r="Y12" s="31">
        <f>IFERROR(HYPERLINK(RolloverCell($B12,Y$6),Y46),Y46)</f>
        <v>0</v>
      </c>
      <c r="Z12" s="31">
        <f>IFERROR(HYPERLINK(RolloverCell($B12,Z$6),Z46),Z46)</f>
        <v>0</v>
      </c>
      <c r="AA12" s="31">
        <f>IFERROR(HYPERLINK(RolloverCell($B12,AA$6),AA46),AA46)</f>
        <v>0</v>
      </c>
      <c r="AB12" s="43">
        <f>IFERROR(HYPERLINK(RolloverCell($B12,AB$6),AB46),AB46)</f>
        <v>0</v>
      </c>
      <c r="AC12" s="31">
        <f>IFERROR(HYPERLINK(RolloverCell($B12,AC$6),AC46),AC46)</f>
        <v>0</v>
      </c>
      <c r="AD12" s="31">
        <f>IFERROR(HYPERLINK(RolloverCell($B12,AD$6),AD46),AD46)</f>
        <v>0</v>
      </c>
      <c r="AE12" s="31">
        <f>IFERROR(HYPERLINK(RolloverCell($B12,AE$6),AE46),AE46)</f>
        <v>0</v>
      </c>
      <c r="AF12" s="31">
        <f>IFERROR(HYPERLINK(RolloverCell($B12,AF$6),AF46),AF46)</f>
        <v>0</v>
      </c>
      <c r="AG12" s="32">
        <f>IFERROR(HYPERLINK(RolloverCell($B12,AG$6),AG46),AG46)</f>
        <v>0</v>
      </c>
      <c r="AH12" s="2"/>
      <c r="AI12" s="7"/>
      <c r="AJ12" s="2"/>
    </row>
    <row r="13" spans="1:36" x14ac:dyDescent="0.25">
      <c r="A13" s="2"/>
      <c r="B13" s="5">
        <f t="shared" si="0"/>
        <v>7</v>
      </c>
      <c r="C13" s="41" t="str">
        <f>INDEX(Calculation!$B$4:$B$45,Dashboard!B13,1)</f>
        <v>Project 7</v>
      </c>
      <c r="D13" s="30">
        <f>IFERROR(HYPERLINK(RolloverCell($B13,D$6),D47),D47)</f>
        <v>0</v>
      </c>
      <c r="E13" s="31">
        <f>IFERROR(HYPERLINK(RolloverCell($B13,E$6),E47),E47)</f>
        <v>0</v>
      </c>
      <c r="F13" s="31">
        <f>IFERROR(HYPERLINK(RolloverCell($B13,F$6),F47),F47)</f>
        <v>0</v>
      </c>
      <c r="G13" s="31">
        <f>IFERROR(HYPERLINK(RolloverCell($B13,G$6),G47),G47)</f>
        <v>0</v>
      </c>
      <c r="H13" s="43">
        <f>IFERROR(HYPERLINK(RolloverCell($B13,H$6),H47),H47)</f>
        <v>0</v>
      </c>
      <c r="I13" s="47">
        <f>IFERROR(HYPERLINK(RolloverCell($B13,I$6),I47),I47)</f>
        <v>5</v>
      </c>
      <c r="J13" s="31">
        <f>IFERROR(HYPERLINK(RolloverCell($B13,J$6),J47),J47)</f>
        <v>5</v>
      </c>
      <c r="K13" s="31">
        <f>IFERROR(HYPERLINK(RolloverCell($B13,K$6),K47),K47)</f>
        <v>6</v>
      </c>
      <c r="L13" s="31">
        <f>IFERROR(HYPERLINK(RolloverCell($B13,L$6),L47),L47)</f>
        <v>7</v>
      </c>
      <c r="M13" s="43">
        <f>IFERROR(HYPERLINK(RolloverCell($B13,M$6),M47),M47)</f>
        <v>8</v>
      </c>
      <c r="N13" s="47">
        <f>IFERROR(HYPERLINK(RolloverCell($B13,N$6),N47),N47)</f>
        <v>10</v>
      </c>
      <c r="O13" s="31">
        <f>IFERROR(HYPERLINK(RolloverCell($B13,O$6),O47),O47)</f>
        <v>11</v>
      </c>
      <c r="P13" s="31">
        <f>IFERROR(HYPERLINK(RolloverCell($B13,P$6),P47),P47)</f>
        <v>11</v>
      </c>
      <c r="Q13" s="31">
        <f>IFERROR(HYPERLINK(RolloverCell($B13,Q$6),Q47),Q47)</f>
        <v>12</v>
      </c>
      <c r="R13" s="43">
        <f>IFERROR(HYPERLINK(RolloverCell($B13,R$6),R47),R47)</f>
        <v>14</v>
      </c>
      <c r="S13" s="47">
        <f>IFERROR(HYPERLINK(RolloverCell($B13,S$6),S47),S47)</f>
        <v>15</v>
      </c>
      <c r="T13" s="31">
        <f>IFERROR(HYPERLINK(RolloverCell($B13,T$6),T47),T47)</f>
        <v>3</v>
      </c>
      <c r="U13" s="31">
        <f>IFERROR(HYPERLINK(RolloverCell($B13,U$6),U47),U47)</f>
        <v>0</v>
      </c>
      <c r="V13" s="31">
        <f>IFERROR(HYPERLINK(RolloverCell($B13,V$6),V47),V47)</f>
        <v>0</v>
      </c>
      <c r="W13" s="43">
        <f>IFERROR(HYPERLINK(RolloverCell($B13,W$6),W47),W47)</f>
        <v>0</v>
      </c>
      <c r="X13" s="47">
        <f>IFERROR(HYPERLINK(RolloverCell($B13,X$6),X47),X47)</f>
        <v>0</v>
      </c>
      <c r="Y13" s="31">
        <f>IFERROR(HYPERLINK(RolloverCell($B13,Y$6),Y47),Y47)</f>
        <v>0</v>
      </c>
      <c r="Z13" s="31">
        <f>IFERROR(HYPERLINK(RolloverCell($B13,Z$6),Z47),Z47)</f>
        <v>0</v>
      </c>
      <c r="AA13" s="31">
        <f>IFERROR(HYPERLINK(RolloverCell($B13,AA$6),AA47),AA47)</f>
        <v>0</v>
      </c>
      <c r="AB13" s="43">
        <f>IFERROR(HYPERLINK(RolloverCell($B13,AB$6),AB47),AB47)</f>
        <v>0</v>
      </c>
      <c r="AC13" s="31">
        <f>IFERROR(HYPERLINK(RolloverCell($B13,AC$6),AC47),AC47)</f>
        <v>0</v>
      </c>
      <c r="AD13" s="31">
        <f>IFERROR(HYPERLINK(RolloverCell($B13,AD$6),AD47),AD47)</f>
        <v>0</v>
      </c>
      <c r="AE13" s="31">
        <f>IFERROR(HYPERLINK(RolloverCell($B13,AE$6),AE47),AE47)</f>
        <v>0</v>
      </c>
      <c r="AF13" s="31">
        <f>IFERROR(HYPERLINK(RolloverCell($B13,AF$6),AF47),AF47)</f>
        <v>0</v>
      </c>
      <c r="AG13" s="32">
        <f>IFERROR(HYPERLINK(RolloverCell($B13,AG$6),AG47),AG47)</f>
        <v>0</v>
      </c>
      <c r="AH13" s="2"/>
      <c r="AI13" s="7"/>
      <c r="AJ13" s="2"/>
    </row>
    <row r="14" spans="1:36" x14ac:dyDescent="0.25">
      <c r="A14" s="2"/>
      <c r="B14" s="5">
        <f t="shared" si="0"/>
        <v>8</v>
      </c>
      <c r="C14" s="41" t="str">
        <f>INDEX(Calculation!$B$4:$B$45,Dashboard!B14,1)</f>
        <v>Project 8</v>
      </c>
      <c r="D14" s="30">
        <f>IFERROR(HYPERLINK(RolloverCell($B14,D$6),D48),D48)</f>
        <v>0</v>
      </c>
      <c r="E14" s="31">
        <f>IFERROR(HYPERLINK(RolloverCell($B14,E$6),E48),E48)</f>
        <v>0</v>
      </c>
      <c r="F14" s="31">
        <f>IFERROR(HYPERLINK(RolloverCell($B14,F$6),F48),F48)</f>
        <v>0</v>
      </c>
      <c r="G14" s="31">
        <f>IFERROR(HYPERLINK(RolloverCell($B14,G$6),G48),G48)</f>
        <v>0</v>
      </c>
      <c r="H14" s="43">
        <f>IFERROR(HYPERLINK(RolloverCell($B14,H$6),H48),H48)</f>
        <v>0</v>
      </c>
      <c r="I14" s="47">
        <f>IFERROR(HYPERLINK(RolloverCell($B14,I$6),I48),I48)</f>
        <v>3</v>
      </c>
      <c r="J14" s="31">
        <f>IFERROR(HYPERLINK(RolloverCell($B14,J$6),J48),J48)</f>
        <v>4</v>
      </c>
      <c r="K14" s="31">
        <f>IFERROR(HYPERLINK(RolloverCell($B14,K$6),K48),K48)</f>
        <v>5</v>
      </c>
      <c r="L14" s="31">
        <f>IFERROR(HYPERLINK(RolloverCell($B14,L$6),L48),L48)</f>
        <v>5</v>
      </c>
      <c r="M14" s="43">
        <f>IFERROR(HYPERLINK(RolloverCell($B14,M$6),M48),M48)</f>
        <v>4</v>
      </c>
      <c r="N14" s="47">
        <f>IFERROR(HYPERLINK(RolloverCell($B14,N$6),N48),N48)</f>
        <v>3</v>
      </c>
      <c r="O14" s="31">
        <f>IFERROR(HYPERLINK(RolloverCell($B14,O$6),O48),O48)</f>
        <v>0</v>
      </c>
      <c r="P14" s="31">
        <f>IFERROR(HYPERLINK(RolloverCell($B14,P$6),P48),P48)</f>
        <v>0</v>
      </c>
      <c r="Q14" s="31">
        <f>IFERROR(HYPERLINK(RolloverCell($B14,Q$6),Q48),Q48)</f>
        <v>0</v>
      </c>
      <c r="R14" s="43">
        <f>IFERROR(HYPERLINK(RolloverCell($B14,R$6),R48),R48)</f>
        <v>0</v>
      </c>
      <c r="S14" s="47">
        <f>IFERROR(HYPERLINK(RolloverCell($B14,S$6),S48),S48)</f>
        <v>0</v>
      </c>
      <c r="T14" s="31">
        <f>IFERROR(HYPERLINK(RolloverCell($B14,T$6),T48),T48)</f>
        <v>0</v>
      </c>
      <c r="U14" s="31">
        <f>IFERROR(HYPERLINK(RolloverCell($B14,U$6),U48),U48)</f>
        <v>0</v>
      </c>
      <c r="V14" s="31">
        <f>IFERROR(HYPERLINK(RolloverCell($B14,V$6),V48),V48)</f>
        <v>0</v>
      </c>
      <c r="W14" s="43">
        <f>IFERROR(HYPERLINK(RolloverCell($B14,W$6),W48),W48)</f>
        <v>0</v>
      </c>
      <c r="X14" s="47">
        <f>IFERROR(HYPERLINK(RolloverCell($B14,X$6),X48),X48)</f>
        <v>0</v>
      </c>
      <c r="Y14" s="31">
        <f>IFERROR(HYPERLINK(RolloverCell($B14,Y$6),Y48),Y48)</f>
        <v>0</v>
      </c>
      <c r="Z14" s="31">
        <f>IFERROR(HYPERLINK(RolloverCell($B14,Z$6),Z48),Z48)</f>
        <v>0</v>
      </c>
      <c r="AA14" s="31">
        <f>IFERROR(HYPERLINK(RolloverCell($B14,AA$6),AA48),AA48)</f>
        <v>0</v>
      </c>
      <c r="AB14" s="43">
        <f>IFERROR(HYPERLINK(RolloverCell($B14,AB$6),AB48),AB48)</f>
        <v>0</v>
      </c>
      <c r="AC14" s="31">
        <f>IFERROR(HYPERLINK(RolloverCell($B14,AC$6),AC48),AC48)</f>
        <v>0</v>
      </c>
      <c r="AD14" s="31">
        <f>IFERROR(HYPERLINK(RolloverCell($B14,AD$6),AD48),AD48)</f>
        <v>0</v>
      </c>
      <c r="AE14" s="31">
        <f>IFERROR(HYPERLINK(RolloverCell($B14,AE$6),AE48),AE48)</f>
        <v>0</v>
      </c>
      <c r="AF14" s="31">
        <f>IFERROR(HYPERLINK(RolloverCell($B14,AF$6),AF48),AF48)</f>
        <v>0</v>
      </c>
      <c r="AG14" s="32">
        <f>IFERROR(HYPERLINK(RolloverCell($B14,AG$6),AG48),AG48)</f>
        <v>0</v>
      </c>
      <c r="AH14" s="2"/>
      <c r="AI14" s="7"/>
      <c r="AJ14" s="2"/>
    </row>
    <row r="15" spans="1:36" x14ac:dyDescent="0.25">
      <c r="A15" s="2"/>
      <c r="B15" s="5">
        <f t="shared" si="0"/>
        <v>9</v>
      </c>
      <c r="C15" s="41" t="str">
        <f>INDEX(Calculation!$B$4:$B$45,Dashboard!B15,1)</f>
        <v>Project 9</v>
      </c>
      <c r="D15" s="30">
        <f>IFERROR(HYPERLINK(RolloverCell($B15,D$6),D49),D49)</f>
        <v>0</v>
      </c>
      <c r="E15" s="31">
        <f>IFERROR(HYPERLINK(RolloverCell($B15,E$6),E49),E49)</f>
        <v>0</v>
      </c>
      <c r="F15" s="31">
        <f>IFERROR(HYPERLINK(RolloverCell($B15,F$6),F49),F49)</f>
        <v>0</v>
      </c>
      <c r="G15" s="31">
        <f>IFERROR(HYPERLINK(RolloverCell($B15,G$6),G49),G49)</f>
        <v>0</v>
      </c>
      <c r="H15" s="43">
        <f>IFERROR(HYPERLINK(RolloverCell($B15,H$6),H49),H49)</f>
        <v>0</v>
      </c>
      <c r="I15" s="47">
        <f>IFERROR(HYPERLINK(RolloverCell($B15,I$6),I49),I49)</f>
        <v>0</v>
      </c>
      <c r="J15" s="31">
        <f>IFERROR(HYPERLINK(RolloverCell($B15,J$6),J49),J49)</f>
        <v>5</v>
      </c>
      <c r="K15" s="31">
        <f>IFERROR(HYPERLINK(RolloverCell($B15,K$6),K49),K49)</f>
        <v>6</v>
      </c>
      <c r="L15" s="31">
        <f>IFERROR(HYPERLINK(RolloverCell($B15,L$6),L49),L49)</f>
        <v>6</v>
      </c>
      <c r="M15" s="43">
        <f>IFERROR(HYPERLINK(RolloverCell($B15,M$6),M49),M49)</f>
        <v>7</v>
      </c>
      <c r="N15" s="47">
        <f>IFERROR(HYPERLINK(RolloverCell($B15,N$6),N49),N49)</f>
        <v>7</v>
      </c>
      <c r="O15" s="31">
        <f>IFERROR(HYPERLINK(RolloverCell($B15,O$6),O49),O49)</f>
        <v>8</v>
      </c>
      <c r="P15" s="31">
        <f>IFERROR(HYPERLINK(RolloverCell($B15,P$6),P49),P49)</f>
        <v>8</v>
      </c>
      <c r="Q15" s="31">
        <f>IFERROR(HYPERLINK(RolloverCell($B15,Q$6),Q49),Q49)</f>
        <v>9</v>
      </c>
      <c r="R15" s="43">
        <f>IFERROR(HYPERLINK(RolloverCell($B15,R$6),R49),R49)</f>
        <v>9</v>
      </c>
      <c r="S15" s="47">
        <f>IFERROR(HYPERLINK(RolloverCell($B15,S$6),S49),S49)</f>
        <v>9</v>
      </c>
      <c r="T15" s="31">
        <f>IFERROR(HYPERLINK(RolloverCell($B15,T$6),T49),T49)</f>
        <v>9</v>
      </c>
      <c r="U15" s="31">
        <f>IFERROR(HYPERLINK(RolloverCell($B15,U$6),U49),U49)</f>
        <v>9</v>
      </c>
      <c r="V15" s="31">
        <f>IFERROR(HYPERLINK(RolloverCell($B15,V$6),V49),V49)</f>
        <v>9</v>
      </c>
      <c r="W15" s="43">
        <f>IFERROR(HYPERLINK(RolloverCell($B15,W$6),W49),W49)</f>
        <v>6</v>
      </c>
      <c r="X15" s="47">
        <f>IFERROR(HYPERLINK(RolloverCell($B15,X$6),X49),X49)</f>
        <v>6</v>
      </c>
      <c r="Y15" s="31">
        <f>IFERROR(HYPERLINK(RolloverCell($B15,Y$6),Y49),Y49)</f>
        <v>6</v>
      </c>
      <c r="Z15" s="31">
        <f>IFERROR(HYPERLINK(RolloverCell($B15,Z$6),Z49),Z49)</f>
        <v>6</v>
      </c>
      <c r="AA15" s="31">
        <f>IFERROR(HYPERLINK(RolloverCell($B15,AA$6),AA49),AA49)</f>
        <v>6</v>
      </c>
      <c r="AB15" s="43">
        <f>IFERROR(HYPERLINK(RolloverCell($B15,AB$6),AB49),AB49)</f>
        <v>0</v>
      </c>
      <c r="AC15" s="31">
        <f>IFERROR(HYPERLINK(RolloverCell($B15,AC$6),AC49),AC49)</f>
        <v>0</v>
      </c>
      <c r="AD15" s="31">
        <f>IFERROR(HYPERLINK(RolloverCell($B15,AD$6),AD49),AD49)</f>
        <v>0</v>
      </c>
      <c r="AE15" s="31">
        <f>IFERROR(HYPERLINK(RolloverCell($B15,AE$6),AE49),AE49)</f>
        <v>0</v>
      </c>
      <c r="AF15" s="31">
        <f>IFERROR(HYPERLINK(RolloverCell($B15,AF$6),AF49),AF49)</f>
        <v>0</v>
      </c>
      <c r="AG15" s="32">
        <f>IFERROR(HYPERLINK(RolloverCell($B15,AG$6),AG49),AG49)</f>
        <v>0</v>
      </c>
      <c r="AH15" s="2"/>
      <c r="AI15" s="7"/>
      <c r="AJ15" s="2"/>
    </row>
    <row r="16" spans="1:36" x14ac:dyDescent="0.25">
      <c r="A16" s="2"/>
      <c r="B16" s="5">
        <f t="shared" si="0"/>
        <v>10</v>
      </c>
      <c r="C16" s="39" t="str">
        <f>INDEX(Calculation!$B$4:$B$45,Dashboard!B16,1)</f>
        <v>Project 10</v>
      </c>
      <c r="D16" s="36">
        <f>IFERROR(HYPERLINK(RolloverCell($B16,D$6),D50),D50)</f>
        <v>0</v>
      </c>
      <c r="E16" s="37">
        <f>IFERROR(HYPERLINK(RolloverCell($B16,E$6),E50),E50)</f>
        <v>0</v>
      </c>
      <c r="F16" s="37">
        <f>IFERROR(HYPERLINK(RolloverCell($B16,F$6),F50),F50)</f>
        <v>0</v>
      </c>
      <c r="G16" s="37">
        <f>IFERROR(HYPERLINK(RolloverCell($B16,G$6),G50),G50)</f>
        <v>0</v>
      </c>
      <c r="H16" s="44">
        <f>IFERROR(HYPERLINK(RolloverCell($B16,H$6),H50),H50)</f>
        <v>0</v>
      </c>
      <c r="I16" s="48">
        <f>IFERROR(HYPERLINK(RolloverCell($B16,I$6),I50),I50)</f>
        <v>0</v>
      </c>
      <c r="J16" s="37">
        <f>IFERROR(HYPERLINK(RolloverCell($B16,J$6),J50),J50)</f>
        <v>5</v>
      </c>
      <c r="K16" s="37">
        <f>IFERROR(HYPERLINK(RolloverCell($B16,K$6),K50),K50)</f>
        <v>6</v>
      </c>
      <c r="L16" s="37">
        <f>IFERROR(HYPERLINK(RolloverCell($B16,L$6),L50),L50)</f>
        <v>6</v>
      </c>
      <c r="M16" s="44">
        <f>IFERROR(HYPERLINK(RolloverCell($B16,M$6),M50),M50)</f>
        <v>7</v>
      </c>
      <c r="N16" s="48">
        <f>IFERROR(HYPERLINK(RolloverCell($B16,N$6),N50),N50)</f>
        <v>7</v>
      </c>
      <c r="O16" s="37">
        <f>IFERROR(HYPERLINK(RolloverCell($B16,O$6),O50),O50)</f>
        <v>8</v>
      </c>
      <c r="P16" s="37">
        <f>IFERROR(HYPERLINK(RolloverCell($B16,P$6),P50),P50)</f>
        <v>8</v>
      </c>
      <c r="Q16" s="37">
        <f>IFERROR(HYPERLINK(RolloverCell($B16,Q$6),Q50),Q50)</f>
        <v>9</v>
      </c>
      <c r="R16" s="44">
        <f>IFERROR(HYPERLINK(RolloverCell($B16,R$6),R50),R50)</f>
        <v>9</v>
      </c>
      <c r="S16" s="48">
        <f>IFERROR(HYPERLINK(RolloverCell($B16,S$6),S50),S50)</f>
        <v>0</v>
      </c>
      <c r="T16" s="37">
        <f>IFERROR(HYPERLINK(RolloverCell($B16,T$6),T50),T50)</f>
        <v>0</v>
      </c>
      <c r="U16" s="37">
        <f>IFERROR(HYPERLINK(RolloverCell($B16,U$6),U50),U50)</f>
        <v>0</v>
      </c>
      <c r="V16" s="37">
        <f>IFERROR(HYPERLINK(RolloverCell($B16,V$6),V50),V50)</f>
        <v>0</v>
      </c>
      <c r="W16" s="44">
        <f>IFERROR(HYPERLINK(RolloverCell($B16,W$6),W50),W50)</f>
        <v>0</v>
      </c>
      <c r="X16" s="48">
        <f>IFERROR(HYPERLINK(RolloverCell($B16,X$6),X50),X50)</f>
        <v>0</v>
      </c>
      <c r="Y16" s="37">
        <f>IFERROR(HYPERLINK(RolloverCell($B16,Y$6),Y50),Y50)</f>
        <v>0</v>
      </c>
      <c r="Z16" s="37">
        <f>IFERROR(HYPERLINK(RolloverCell($B16,Z$6),Z50),Z50)</f>
        <v>0</v>
      </c>
      <c r="AA16" s="37">
        <f>IFERROR(HYPERLINK(RolloverCell($B16,AA$6),AA50),AA50)</f>
        <v>0</v>
      </c>
      <c r="AB16" s="44">
        <f>IFERROR(HYPERLINK(RolloverCell($B16,AB$6),AB50),AB50)</f>
        <v>0</v>
      </c>
      <c r="AC16" s="37">
        <f>IFERROR(HYPERLINK(RolloverCell($B16,AC$6),AC50),AC50)</f>
        <v>0</v>
      </c>
      <c r="AD16" s="37">
        <f>IFERROR(HYPERLINK(RolloverCell($B16,AD$6),AD50),AD50)</f>
        <v>0</v>
      </c>
      <c r="AE16" s="37">
        <f>IFERROR(HYPERLINK(RolloverCell($B16,AE$6),AE50),AE50)</f>
        <v>0</v>
      </c>
      <c r="AF16" s="37">
        <f>IFERROR(HYPERLINK(RolloverCell($B16,AF$6),AF50),AF50)</f>
        <v>0</v>
      </c>
      <c r="AG16" s="38">
        <f>IFERROR(HYPERLINK(RolloverCell($B16,AG$6),AG50),AG50)</f>
        <v>0</v>
      </c>
      <c r="AH16" s="2"/>
      <c r="AI16" s="7"/>
      <c r="AJ16" s="2"/>
    </row>
    <row r="17" spans="1:36" x14ac:dyDescent="0.25">
      <c r="A17" s="2"/>
      <c r="B17" s="5">
        <f t="shared" si="0"/>
        <v>11</v>
      </c>
      <c r="C17" s="40" t="str">
        <f>INDEX(Calculation!$B$4:$B$45,Dashboard!B17,1)</f>
        <v>Project 11</v>
      </c>
      <c r="D17" s="30">
        <f>IFERROR(HYPERLINK(RolloverCell($B17,D$6),D51),D51)</f>
        <v>0</v>
      </c>
      <c r="E17" s="31">
        <f>IFERROR(HYPERLINK(RolloverCell($B17,E$6),E51),E51)</f>
        <v>0</v>
      </c>
      <c r="F17" s="31">
        <f>IFERROR(HYPERLINK(RolloverCell($B17,F$6),F51),F51)</f>
        <v>0</v>
      </c>
      <c r="G17" s="31">
        <f>IFERROR(HYPERLINK(RolloverCell($B17,G$6),G51),G51)</f>
        <v>0</v>
      </c>
      <c r="H17" s="43">
        <f>IFERROR(HYPERLINK(RolloverCell($B17,H$6),H51),H51)</f>
        <v>0</v>
      </c>
      <c r="I17" s="47">
        <f>IFERROR(HYPERLINK(RolloverCell($B17,I$6),I51),I51)</f>
        <v>0</v>
      </c>
      <c r="J17" s="31">
        <f>IFERROR(HYPERLINK(RolloverCell($B17,J$6),J51),J51)</f>
        <v>5</v>
      </c>
      <c r="K17" s="31">
        <f>IFERROR(HYPERLINK(RolloverCell($B17,K$6),K51),K51)</f>
        <v>6</v>
      </c>
      <c r="L17" s="31">
        <f>IFERROR(HYPERLINK(RolloverCell($B17,L$6),L51),L51)</f>
        <v>6</v>
      </c>
      <c r="M17" s="43">
        <f>IFERROR(HYPERLINK(RolloverCell($B17,M$6),M51),M51)</f>
        <v>5</v>
      </c>
      <c r="N17" s="47">
        <f>IFERROR(HYPERLINK(RolloverCell($B17,N$6),N51),N51)</f>
        <v>4</v>
      </c>
      <c r="O17" s="31">
        <f>IFERROR(HYPERLINK(RolloverCell($B17,O$6),O51),O51)</f>
        <v>3</v>
      </c>
      <c r="P17" s="31">
        <f>IFERROR(HYPERLINK(RolloverCell($B17,P$6),P51),P51)</f>
        <v>0</v>
      </c>
      <c r="Q17" s="31">
        <f>IFERROR(HYPERLINK(RolloverCell($B17,Q$6),Q51),Q51)</f>
        <v>0</v>
      </c>
      <c r="R17" s="43">
        <f>IFERROR(HYPERLINK(RolloverCell($B17,R$6),R51),R51)</f>
        <v>0</v>
      </c>
      <c r="S17" s="47">
        <f>IFERROR(HYPERLINK(RolloverCell($B17,S$6),S51),S51)</f>
        <v>0</v>
      </c>
      <c r="T17" s="31">
        <f>IFERROR(HYPERLINK(RolloverCell($B17,T$6),T51),T51)</f>
        <v>0</v>
      </c>
      <c r="U17" s="31">
        <f>IFERROR(HYPERLINK(RolloverCell($B17,U$6),U51),U51)</f>
        <v>0</v>
      </c>
      <c r="V17" s="31">
        <f>IFERROR(HYPERLINK(RolloverCell($B17,V$6),V51),V51)</f>
        <v>0</v>
      </c>
      <c r="W17" s="43">
        <f>IFERROR(HYPERLINK(RolloverCell($B17,W$6),W51),W51)</f>
        <v>0</v>
      </c>
      <c r="X17" s="47">
        <f>IFERROR(HYPERLINK(RolloverCell($B17,X$6),X51),X51)</f>
        <v>0</v>
      </c>
      <c r="Y17" s="31">
        <f>IFERROR(HYPERLINK(RolloverCell($B17,Y$6),Y51),Y51)</f>
        <v>0</v>
      </c>
      <c r="Z17" s="31">
        <f>IFERROR(HYPERLINK(RolloverCell($B17,Z$6),Z51),Z51)</f>
        <v>0</v>
      </c>
      <c r="AA17" s="31">
        <f>IFERROR(HYPERLINK(RolloverCell($B17,AA$6),AA51),AA51)</f>
        <v>0</v>
      </c>
      <c r="AB17" s="43">
        <f>IFERROR(HYPERLINK(RolloverCell($B17,AB$6),AB51),AB51)</f>
        <v>0</v>
      </c>
      <c r="AC17" s="31">
        <f>IFERROR(HYPERLINK(RolloverCell($B17,AC$6),AC51),AC51)</f>
        <v>0</v>
      </c>
      <c r="AD17" s="31">
        <f>IFERROR(HYPERLINK(RolloverCell($B17,AD$6),AD51),AD51)</f>
        <v>0</v>
      </c>
      <c r="AE17" s="31">
        <f>IFERROR(HYPERLINK(RolloverCell($B17,AE$6),AE51),AE51)</f>
        <v>0</v>
      </c>
      <c r="AF17" s="31">
        <f>IFERROR(HYPERLINK(RolloverCell($B17,AF$6),AF51),AF51)</f>
        <v>0</v>
      </c>
      <c r="AG17" s="32">
        <f>IFERROR(HYPERLINK(RolloverCell($B17,AG$6),AG51),AG51)</f>
        <v>0</v>
      </c>
      <c r="AH17" s="2"/>
      <c r="AI17" s="7"/>
      <c r="AJ17" s="2"/>
    </row>
    <row r="18" spans="1:36" x14ac:dyDescent="0.25">
      <c r="A18" s="2"/>
      <c r="B18" s="5">
        <f t="shared" si="0"/>
        <v>12</v>
      </c>
      <c r="C18" s="41" t="str">
        <f>INDEX(Calculation!$B$4:$B$45,Dashboard!B18,1)</f>
        <v>Project 12</v>
      </c>
      <c r="D18" s="30">
        <f>IFERROR(HYPERLINK(RolloverCell($B18,D$6),D52),D52)</f>
        <v>0</v>
      </c>
      <c r="E18" s="31">
        <f>IFERROR(HYPERLINK(RolloverCell($B18,E$6),E52),E52)</f>
        <v>0</v>
      </c>
      <c r="F18" s="31">
        <f>IFERROR(HYPERLINK(RolloverCell($B18,F$6),F52),F52)</f>
        <v>0</v>
      </c>
      <c r="G18" s="31">
        <f>IFERROR(HYPERLINK(RolloverCell($B18,G$6),G52),G52)</f>
        <v>0</v>
      </c>
      <c r="H18" s="43">
        <f>IFERROR(HYPERLINK(RolloverCell($B18,H$6),H52),H52)</f>
        <v>0</v>
      </c>
      <c r="I18" s="47">
        <f>IFERROR(HYPERLINK(RolloverCell($B18,I$6),I52),I52)</f>
        <v>0</v>
      </c>
      <c r="J18" s="31">
        <f>IFERROR(HYPERLINK(RolloverCell($B18,J$6),J52),J52)</f>
        <v>0</v>
      </c>
      <c r="K18" s="31">
        <f>IFERROR(HYPERLINK(RolloverCell($B18,K$6),K52),K52)</f>
        <v>7</v>
      </c>
      <c r="L18" s="31">
        <f>IFERROR(HYPERLINK(RolloverCell($B18,L$6),L52),L52)</f>
        <v>7</v>
      </c>
      <c r="M18" s="43">
        <f>IFERROR(HYPERLINK(RolloverCell($B18,M$6),M52),M52)</f>
        <v>6</v>
      </c>
      <c r="N18" s="47">
        <f>IFERROR(HYPERLINK(RolloverCell($B18,N$6),N52),N52)</f>
        <v>6</v>
      </c>
      <c r="O18" s="31">
        <f>IFERROR(HYPERLINK(RolloverCell($B18,O$6),O52),O52)</f>
        <v>5</v>
      </c>
      <c r="P18" s="31">
        <f>IFERROR(HYPERLINK(RolloverCell($B18,P$6),P52),P52)</f>
        <v>4</v>
      </c>
      <c r="Q18" s="31">
        <f>IFERROR(HYPERLINK(RolloverCell($B18,Q$6),Q52),Q52)</f>
        <v>3</v>
      </c>
      <c r="R18" s="43">
        <f>IFERROR(HYPERLINK(RolloverCell($B18,R$6),R52),R52)</f>
        <v>2</v>
      </c>
      <c r="S18" s="47">
        <f>IFERROR(HYPERLINK(RolloverCell($B18,S$6),S52),S52)</f>
        <v>0</v>
      </c>
      <c r="T18" s="31">
        <f>IFERROR(HYPERLINK(RolloverCell($B18,T$6),T52),T52)</f>
        <v>0</v>
      </c>
      <c r="U18" s="31">
        <f>IFERROR(HYPERLINK(RolloverCell($B18,U$6),U52),U52)</f>
        <v>0</v>
      </c>
      <c r="V18" s="31">
        <f>IFERROR(HYPERLINK(RolloverCell($B18,V$6),V52),V52)</f>
        <v>0</v>
      </c>
      <c r="W18" s="43">
        <f>IFERROR(HYPERLINK(RolloverCell($B18,W$6),W52),W52)</f>
        <v>0</v>
      </c>
      <c r="X18" s="47">
        <f>IFERROR(HYPERLINK(RolloverCell($B18,X$6),X52),X52)</f>
        <v>0</v>
      </c>
      <c r="Y18" s="31">
        <f>IFERROR(HYPERLINK(RolloverCell($B18,Y$6),Y52),Y52)</f>
        <v>0</v>
      </c>
      <c r="Z18" s="31">
        <f>IFERROR(HYPERLINK(RolloverCell($B18,Z$6),Z52),Z52)</f>
        <v>0</v>
      </c>
      <c r="AA18" s="31">
        <f>IFERROR(HYPERLINK(RolloverCell($B18,AA$6),AA52),AA52)</f>
        <v>0</v>
      </c>
      <c r="AB18" s="43">
        <f>IFERROR(HYPERLINK(RolloverCell($B18,AB$6),AB52),AB52)</f>
        <v>0</v>
      </c>
      <c r="AC18" s="31">
        <f>IFERROR(HYPERLINK(RolloverCell($B18,AC$6),AC52),AC52)</f>
        <v>0</v>
      </c>
      <c r="AD18" s="31">
        <f>IFERROR(HYPERLINK(RolloverCell($B18,AD$6),AD52),AD52)</f>
        <v>0</v>
      </c>
      <c r="AE18" s="31">
        <f>IFERROR(HYPERLINK(RolloverCell($B18,AE$6),AE52),AE52)</f>
        <v>0</v>
      </c>
      <c r="AF18" s="31">
        <f>IFERROR(HYPERLINK(RolloverCell($B18,AF$6),AF52),AF52)</f>
        <v>0</v>
      </c>
      <c r="AG18" s="32">
        <f>IFERROR(HYPERLINK(RolloverCell($B18,AG$6),AG52),AG52)</f>
        <v>0</v>
      </c>
      <c r="AH18" s="2"/>
      <c r="AI18" s="7"/>
      <c r="AJ18" s="2"/>
    </row>
    <row r="19" spans="1:36" x14ac:dyDescent="0.25">
      <c r="A19" s="2"/>
      <c r="B19" s="5">
        <f t="shared" si="0"/>
        <v>13</v>
      </c>
      <c r="C19" s="41" t="str">
        <f>INDEX(Calculation!$B$4:$B$45,Dashboard!B19,1)</f>
        <v>Project 13</v>
      </c>
      <c r="D19" s="30">
        <f>IFERROR(HYPERLINK(RolloverCell($B19,D$6),D53),D53)</f>
        <v>0</v>
      </c>
      <c r="E19" s="31">
        <f>IFERROR(HYPERLINK(RolloverCell($B19,E$6),E53),E53)</f>
        <v>0</v>
      </c>
      <c r="F19" s="31">
        <f>IFERROR(HYPERLINK(RolloverCell($B19,F$6),F53),F53)</f>
        <v>0</v>
      </c>
      <c r="G19" s="31">
        <f>IFERROR(HYPERLINK(RolloverCell($B19,G$6),G53),G53)</f>
        <v>0</v>
      </c>
      <c r="H19" s="43">
        <f>IFERROR(HYPERLINK(RolloverCell($B19,H$6),H53),H53)</f>
        <v>0</v>
      </c>
      <c r="I19" s="47">
        <f>IFERROR(HYPERLINK(RolloverCell($B19,I$6),I53),I53)</f>
        <v>0</v>
      </c>
      <c r="J19" s="31">
        <f>IFERROR(HYPERLINK(RolloverCell($B19,J$6),J53),J53)</f>
        <v>0</v>
      </c>
      <c r="K19" s="31">
        <f>IFERROR(HYPERLINK(RolloverCell($B19,K$6),K53),K53)</f>
        <v>0</v>
      </c>
      <c r="L19" s="31">
        <f>IFERROR(HYPERLINK(RolloverCell($B19,L$6),L53),L53)</f>
        <v>6</v>
      </c>
      <c r="M19" s="43">
        <f>IFERROR(HYPERLINK(RolloverCell($B19,M$6),M53),M53)</f>
        <v>6</v>
      </c>
      <c r="N19" s="47">
        <f>IFERROR(HYPERLINK(RolloverCell($B19,N$6),N53),N53)</f>
        <v>7</v>
      </c>
      <c r="O19" s="31">
        <f>IFERROR(HYPERLINK(RolloverCell($B19,O$6),O53),O53)</f>
        <v>7</v>
      </c>
      <c r="P19" s="31">
        <f>IFERROR(HYPERLINK(RolloverCell($B19,P$6),P53),P53)</f>
        <v>8</v>
      </c>
      <c r="Q19" s="31">
        <f>IFERROR(HYPERLINK(RolloverCell($B19,Q$6),Q53),Q53)</f>
        <v>8</v>
      </c>
      <c r="R19" s="43">
        <f>IFERROR(HYPERLINK(RolloverCell($B19,R$6),R53),R53)</f>
        <v>9</v>
      </c>
      <c r="S19" s="47">
        <f>IFERROR(HYPERLINK(RolloverCell($B19,S$6),S53),S53)</f>
        <v>9</v>
      </c>
      <c r="T19" s="31">
        <f>IFERROR(HYPERLINK(RolloverCell($B19,T$6),T53),T53)</f>
        <v>9</v>
      </c>
      <c r="U19" s="31">
        <f>IFERROR(HYPERLINK(RolloverCell($B19,U$6),U53),U53)</f>
        <v>9</v>
      </c>
      <c r="V19" s="31">
        <f>IFERROR(HYPERLINK(RolloverCell($B19,V$6),V53),V53)</f>
        <v>9</v>
      </c>
      <c r="W19" s="43">
        <f>IFERROR(HYPERLINK(RolloverCell($B19,W$6),W53),W53)</f>
        <v>9</v>
      </c>
      <c r="X19" s="47">
        <f>IFERROR(HYPERLINK(RolloverCell($B19,X$6),X53),X53)</f>
        <v>6</v>
      </c>
      <c r="Y19" s="31">
        <f>IFERROR(HYPERLINK(RolloverCell($B19,Y$6),Y53),Y53)</f>
        <v>6</v>
      </c>
      <c r="Z19" s="31">
        <f>IFERROR(HYPERLINK(RolloverCell($B19,Z$6),Z53),Z53)</f>
        <v>6</v>
      </c>
      <c r="AA19" s="31">
        <f>IFERROR(HYPERLINK(RolloverCell($B19,AA$6),AA53),AA53)</f>
        <v>6</v>
      </c>
      <c r="AB19" s="43">
        <f>IFERROR(HYPERLINK(RolloverCell($B19,AB$6),AB53),AB53)</f>
        <v>6</v>
      </c>
      <c r="AC19" s="31">
        <f>IFERROR(HYPERLINK(RolloverCell($B19,AC$6),AC53),AC53)</f>
        <v>0</v>
      </c>
      <c r="AD19" s="31">
        <f>IFERROR(HYPERLINK(RolloverCell($B19,AD$6),AD53),AD53)</f>
        <v>0</v>
      </c>
      <c r="AE19" s="31">
        <f>IFERROR(HYPERLINK(RolloverCell($B19,AE$6),AE53),AE53)</f>
        <v>0</v>
      </c>
      <c r="AF19" s="31">
        <f>IFERROR(HYPERLINK(RolloverCell($B19,AF$6),AF53),AF53)</f>
        <v>0</v>
      </c>
      <c r="AG19" s="32">
        <f>IFERROR(HYPERLINK(RolloverCell($B19,AG$6),AG53),AG53)</f>
        <v>0</v>
      </c>
      <c r="AH19" s="2"/>
      <c r="AI19" s="7"/>
      <c r="AJ19" s="2"/>
    </row>
    <row r="20" spans="1:36" x14ac:dyDescent="0.25">
      <c r="A20" s="2"/>
      <c r="B20" s="5">
        <f t="shared" si="0"/>
        <v>14</v>
      </c>
      <c r="C20" s="41" t="str">
        <f>INDEX(Calculation!$B$4:$B$45,Dashboard!B20,1)</f>
        <v>Project 14</v>
      </c>
      <c r="D20" s="30">
        <f>IFERROR(HYPERLINK(RolloverCell($B20,D$6),D54),D54)</f>
        <v>0</v>
      </c>
      <c r="E20" s="31">
        <f>IFERROR(HYPERLINK(RolloverCell($B20,E$6),E54),E54)</f>
        <v>0</v>
      </c>
      <c r="F20" s="31">
        <f>IFERROR(HYPERLINK(RolloverCell($B20,F$6),F54),F54)</f>
        <v>0</v>
      </c>
      <c r="G20" s="31">
        <f>IFERROR(HYPERLINK(RolloverCell($B20,G$6),G54),G54)</f>
        <v>0</v>
      </c>
      <c r="H20" s="43">
        <f>IFERROR(HYPERLINK(RolloverCell($B20,H$6),H54),H54)</f>
        <v>0</v>
      </c>
      <c r="I20" s="47">
        <f>IFERROR(HYPERLINK(RolloverCell($B20,I$6),I54),I54)</f>
        <v>0</v>
      </c>
      <c r="J20" s="31">
        <f>IFERROR(HYPERLINK(RolloverCell($B20,J$6),J54),J54)</f>
        <v>0</v>
      </c>
      <c r="K20" s="31">
        <f>IFERROR(HYPERLINK(RolloverCell($B20,K$6),K54),K54)</f>
        <v>0</v>
      </c>
      <c r="L20" s="31">
        <f>IFERROR(HYPERLINK(RolloverCell($B20,L$6),L54),L54)</f>
        <v>5</v>
      </c>
      <c r="M20" s="43">
        <f>IFERROR(HYPERLINK(RolloverCell($B20,M$6),M54),M54)</f>
        <v>6</v>
      </c>
      <c r="N20" s="47">
        <f>IFERROR(HYPERLINK(RolloverCell($B20,N$6),N54),N54)</f>
        <v>6</v>
      </c>
      <c r="O20" s="31">
        <f>IFERROR(HYPERLINK(RolloverCell($B20,O$6),O54),O54)</f>
        <v>6</v>
      </c>
      <c r="P20" s="31">
        <f>IFERROR(HYPERLINK(RolloverCell($B20,P$6),P54),P54)</f>
        <v>7</v>
      </c>
      <c r="Q20" s="31">
        <f>IFERROR(HYPERLINK(RolloverCell($B20,Q$6),Q54),Q54)</f>
        <v>7</v>
      </c>
      <c r="R20" s="43">
        <f>IFERROR(HYPERLINK(RolloverCell($B20,R$6),R54),R54)</f>
        <v>10</v>
      </c>
      <c r="S20" s="47">
        <f>IFERROR(HYPERLINK(RolloverCell($B20,S$6),S54),S54)</f>
        <v>10</v>
      </c>
      <c r="T20" s="31">
        <f>IFERROR(HYPERLINK(RolloverCell($B20,T$6),T54),T54)</f>
        <v>10</v>
      </c>
      <c r="U20" s="31">
        <f>IFERROR(HYPERLINK(RolloverCell($B20,U$6),U54),U54)</f>
        <v>10</v>
      </c>
      <c r="V20" s="31">
        <f>IFERROR(HYPERLINK(RolloverCell($B20,V$6),V54),V54)</f>
        <v>0</v>
      </c>
      <c r="W20" s="43">
        <f>IFERROR(HYPERLINK(RolloverCell($B20,W$6),W54),W54)</f>
        <v>0</v>
      </c>
      <c r="X20" s="47">
        <f>IFERROR(HYPERLINK(RolloverCell($B20,X$6),X54),X54)</f>
        <v>0</v>
      </c>
      <c r="Y20" s="31">
        <f>IFERROR(HYPERLINK(RolloverCell($B20,Y$6),Y54),Y54)</f>
        <v>0</v>
      </c>
      <c r="Z20" s="31">
        <f>IFERROR(HYPERLINK(RolloverCell($B20,Z$6),Z54),Z54)</f>
        <v>0</v>
      </c>
      <c r="AA20" s="31">
        <f>IFERROR(HYPERLINK(RolloverCell($B20,AA$6),AA54),AA54)</f>
        <v>0</v>
      </c>
      <c r="AB20" s="43">
        <f>IFERROR(HYPERLINK(RolloverCell($B20,AB$6),AB54),AB54)</f>
        <v>0</v>
      </c>
      <c r="AC20" s="31">
        <f>IFERROR(HYPERLINK(RolloverCell($B20,AC$6),AC54),AC54)</f>
        <v>0</v>
      </c>
      <c r="AD20" s="31">
        <f>IFERROR(HYPERLINK(RolloverCell($B20,AD$6),AD54),AD54)</f>
        <v>0</v>
      </c>
      <c r="AE20" s="31">
        <f>IFERROR(HYPERLINK(RolloverCell($B20,AE$6),AE54),AE54)</f>
        <v>0</v>
      </c>
      <c r="AF20" s="31">
        <f>IFERROR(HYPERLINK(RolloverCell($B20,AF$6),AF54),AF54)</f>
        <v>0</v>
      </c>
      <c r="AG20" s="32">
        <f>IFERROR(HYPERLINK(RolloverCell($B20,AG$6),AG54),AG54)</f>
        <v>0</v>
      </c>
      <c r="AH20" s="2"/>
      <c r="AI20" s="7"/>
      <c r="AJ20" s="2"/>
    </row>
    <row r="21" spans="1:36" x14ac:dyDescent="0.25">
      <c r="A21" s="2"/>
      <c r="B21" s="5">
        <f t="shared" si="0"/>
        <v>15</v>
      </c>
      <c r="C21" s="39" t="str">
        <f>INDEX(Calculation!$B$4:$B$45,Dashboard!B21,1)</f>
        <v>Project 15</v>
      </c>
      <c r="D21" s="36">
        <f>IFERROR(HYPERLINK(RolloverCell($B21,D$6),D55),D55)</f>
        <v>0</v>
      </c>
      <c r="E21" s="37">
        <f>IFERROR(HYPERLINK(RolloverCell($B21,E$6),E55),E55)</f>
        <v>0</v>
      </c>
      <c r="F21" s="37">
        <f>IFERROR(HYPERLINK(RolloverCell($B21,F$6),F55),F55)</f>
        <v>0</v>
      </c>
      <c r="G21" s="37">
        <f>IFERROR(HYPERLINK(RolloverCell($B21,G$6),G55),G55)</f>
        <v>0</v>
      </c>
      <c r="H21" s="44">
        <f>IFERROR(HYPERLINK(RolloverCell($B21,H$6),H55),H55)</f>
        <v>0</v>
      </c>
      <c r="I21" s="48">
        <f>IFERROR(HYPERLINK(RolloverCell($B21,I$6),I55),I55)</f>
        <v>0</v>
      </c>
      <c r="J21" s="37">
        <f>IFERROR(HYPERLINK(RolloverCell($B21,J$6),J55),J55)</f>
        <v>0</v>
      </c>
      <c r="K21" s="37">
        <f>IFERROR(HYPERLINK(RolloverCell($B21,K$6),K55),K55)</f>
        <v>0</v>
      </c>
      <c r="L21" s="37">
        <f>IFERROR(HYPERLINK(RolloverCell($B21,L$6),L55),L55)</f>
        <v>7</v>
      </c>
      <c r="M21" s="44">
        <f>IFERROR(HYPERLINK(RolloverCell($B21,M$6),M55),M55)</f>
        <v>7</v>
      </c>
      <c r="N21" s="48">
        <f>IFERROR(HYPERLINK(RolloverCell($B21,N$6),N55),N55)</f>
        <v>6</v>
      </c>
      <c r="O21" s="37">
        <f>IFERROR(HYPERLINK(RolloverCell($B21,O$6),O55),O55)</f>
        <v>6</v>
      </c>
      <c r="P21" s="37">
        <f>IFERROR(HYPERLINK(RolloverCell($B21,P$6),P55),P55)</f>
        <v>5</v>
      </c>
      <c r="Q21" s="37">
        <f>IFERROR(HYPERLINK(RolloverCell($B21,Q$6),Q55),Q55)</f>
        <v>4</v>
      </c>
      <c r="R21" s="44">
        <f>IFERROR(HYPERLINK(RolloverCell($B21,R$6),R55),R55)</f>
        <v>3</v>
      </c>
      <c r="S21" s="48">
        <f>IFERROR(HYPERLINK(RolloverCell($B21,S$6),S55),S55)</f>
        <v>2</v>
      </c>
      <c r="T21" s="37">
        <f>IFERROR(HYPERLINK(RolloverCell($B21,T$6),T55),T55)</f>
        <v>1</v>
      </c>
      <c r="U21" s="37">
        <f>IFERROR(HYPERLINK(RolloverCell($B21,U$6),U55),U55)</f>
        <v>0</v>
      </c>
      <c r="V21" s="37">
        <f>IFERROR(HYPERLINK(RolloverCell($B21,V$6),V55),V55)</f>
        <v>0</v>
      </c>
      <c r="W21" s="44">
        <f>IFERROR(HYPERLINK(RolloverCell($B21,W$6),W55),W55)</f>
        <v>0</v>
      </c>
      <c r="X21" s="48">
        <f>IFERROR(HYPERLINK(RolloverCell($B21,X$6),X55),X55)</f>
        <v>0</v>
      </c>
      <c r="Y21" s="37">
        <f>IFERROR(HYPERLINK(RolloverCell($B21,Y$6),Y55),Y55)</f>
        <v>0</v>
      </c>
      <c r="Z21" s="37">
        <f>IFERROR(HYPERLINK(RolloverCell($B21,Z$6),Z55),Z55)</f>
        <v>0</v>
      </c>
      <c r="AA21" s="37">
        <f>IFERROR(HYPERLINK(RolloverCell($B21,AA$6),AA55),AA55)</f>
        <v>0</v>
      </c>
      <c r="AB21" s="44">
        <f>IFERROR(HYPERLINK(RolloverCell($B21,AB$6),AB55),AB55)</f>
        <v>0</v>
      </c>
      <c r="AC21" s="37">
        <f>IFERROR(HYPERLINK(RolloverCell($B21,AC$6),AC55),AC55)</f>
        <v>0</v>
      </c>
      <c r="AD21" s="37">
        <f>IFERROR(HYPERLINK(RolloverCell($B21,AD$6),AD55),AD55)</f>
        <v>0</v>
      </c>
      <c r="AE21" s="37">
        <f>IFERROR(HYPERLINK(RolloverCell($B21,AE$6),AE55),AE55)</f>
        <v>0</v>
      </c>
      <c r="AF21" s="37">
        <f>IFERROR(HYPERLINK(RolloverCell($B21,AF$6),AF55),AF55)</f>
        <v>0</v>
      </c>
      <c r="AG21" s="38">
        <f>IFERROR(HYPERLINK(RolloverCell($B21,AG$6),AG55),AG55)</f>
        <v>0</v>
      </c>
      <c r="AH21" s="2"/>
      <c r="AI21" s="7"/>
      <c r="AJ21" s="2"/>
    </row>
    <row r="22" spans="1:36" x14ac:dyDescent="0.25">
      <c r="A22" s="2"/>
      <c r="B22" s="5">
        <f t="shared" si="0"/>
        <v>16</v>
      </c>
      <c r="C22" s="4" t="str">
        <f>INDEX(Calculation!$B$4:$B$45,Dashboard!B22,1)</f>
        <v>Project 16</v>
      </c>
      <c r="D22" s="30">
        <f>IFERROR(HYPERLINK(RolloverCell($B22,D$6),D56),D56)</f>
        <v>0</v>
      </c>
      <c r="E22" s="31">
        <f>IFERROR(HYPERLINK(RolloverCell($B22,E$6),E56),E56)</f>
        <v>0</v>
      </c>
      <c r="F22" s="31">
        <f>IFERROR(HYPERLINK(RolloverCell($B22,F$6),F56),F56)</f>
        <v>0</v>
      </c>
      <c r="G22" s="31">
        <f>IFERROR(HYPERLINK(RolloverCell($B22,G$6),G56),G56)</f>
        <v>0</v>
      </c>
      <c r="H22" s="43">
        <f>IFERROR(HYPERLINK(RolloverCell($B22,H$6),H56),H56)</f>
        <v>0</v>
      </c>
      <c r="I22" s="47">
        <f>IFERROR(HYPERLINK(RolloverCell($B22,I$6),I56),I56)</f>
        <v>0</v>
      </c>
      <c r="J22" s="31">
        <f>IFERROR(HYPERLINK(RolloverCell($B22,J$6),J56),J56)</f>
        <v>0</v>
      </c>
      <c r="K22" s="31">
        <f>IFERROR(HYPERLINK(RolloverCell($B22,K$6),K56),K56)</f>
        <v>0</v>
      </c>
      <c r="L22" s="31">
        <f>IFERROR(HYPERLINK(RolloverCell($B22,L$6),L56),L56)</f>
        <v>5</v>
      </c>
      <c r="M22" s="43">
        <f>IFERROR(HYPERLINK(RolloverCell($B22,M$6),M56),M56)</f>
        <v>5</v>
      </c>
      <c r="N22" s="47">
        <f>IFERROR(HYPERLINK(RolloverCell($B22,N$6),N56),N56)</f>
        <v>4</v>
      </c>
      <c r="O22" s="31">
        <f>IFERROR(HYPERLINK(RolloverCell($B22,O$6),O56),O56)</f>
        <v>3</v>
      </c>
      <c r="P22" s="31">
        <f>IFERROR(HYPERLINK(RolloverCell($B22,P$6),P56),P56)</f>
        <v>2</v>
      </c>
      <c r="Q22" s="31">
        <f>IFERROR(HYPERLINK(RolloverCell($B22,Q$6),Q56),Q56)</f>
        <v>0</v>
      </c>
      <c r="R22" s="43">
        <f>IFERROR(HYPERLINK(RolloverCell($B22,R$6),R56),R56)</f>
        <v>0</v>
      </c>
      <c r="S22" s="47">
        <f>IFERROR(HYPERLINK(RolloverCell($B22,S$6),S56),S56)</f>
        <v>0</v>
      </c>
      <c r="T22" s="31">
        <f>IFERROR(HYPERLINK(RolloverCell($B22,T$6),T56),T56)</f>
        <v>0</v>
      </c>
      <c r="U22" s="31">
        <f>IFERROR(HYPERLINK(RolloverCell($B22,U$6),U56),U56)</f>
        <v>0</v>
      </c>
      <c r="V22" s="31">
        <f>IFERROR(HYPERLINK(RolloverCell($B22,V$6),V56),V56)</f>
        <v>0</v>
      </c>
      <c r="W22" s="43">
        <f>IFERROR(HYPERLINK(RolloverCell($B22,W$6),W56),W56)</f>
        <v>0</v>
      </c>
      <c r="X22" s="47">
        <f>IFERROR(HYPERLINK(RolloverCell($B22,X$6),X56),X56)</f>
        <v>0</v>
      </c>
      <c r="Y22" s="31">
        <f>IFERROR(HYPERLINK(RolloverCell($B22,Y$6),Y56),Y56)</f>
        <v>0</v>
      </c>
      <c r="Z22" s="31">
        <f>IFERROR(HYPERLINK(RolloverCell($B22,Z$6),Z56),Z56)</f>
        <v>0</v>
      </c>
      <c r="AA22" s="31">
        <f>IFERROR(HYPERLINK(RolloverCell($B22,AA$6),AA56),AA56)</f>
        <v>0</v>
      </c>
      <c r="AB22" s="43">
        <f>IFERROR(HYPERLINK(RolloverCell($B22,AB$6),AB56),AB56)</f>
        <v>0</v>
      </c>
      <c r="AC22" s="31">
        <f>IFERROR(HYPERLINK(RolloverCell($B22,AC$6),AC56),AC56)</f>
        <v>0</v>
      </c>
      <c r="AD22" s="31">
        <f>IFERROR(HYPERLINK(RolloverCell($B22,AD$6),AD56),AD56)</f>
        <v>0</v>
      </c>
      <c r="AE22" s="31">
        <f>IFERROR(HYPERLINK(RolloverCell($B22,AE$6),AE56),AE56)</f>
        <v>0</v>
      </c>
      <c r="AF22" s="31">
        <f>IFERROR(HYPERLINK(RolloverCell($B22,AF$6),AF56),AF56)</f>
        <v>0</v>
      </c>
      <c r="AG22" s="32">
        <f>IFERROR(HYPERLINK(RolloverCell($B22,AG$6),AG56),AG56)</f>
        <v>0</v>
      </c>
      <c r="AH22" s="2"/>
      <c r="AI22" s="7"/>
      <c r="AJ22" s="2"/>
    </row>
    <row r="23" spans="1:36" x14ac:dyDescent="0.25">
      <c r="A23" s="2"/>
      <c r="B23" s="5">
        <f t="shared" si="0"/>
        <v>17</v>
      </c>
      <c r="C23" s="4" t="str">
        <f>INDEX(Calculation!$B$4:$B$45,Dashboard!B23,1)</f>
        <v>Project 17</v>
      </c>
      <c r="D23" s="30">
        <f>IFERROR(HYPERLINK(RolloverCell($B23,D$6),D57),D57)</f>
        <v>0</v>
      </c>
      <c r="E23" s="31">
        <f>IFERROR(HYPERLINK(RolloverCell($B23,E$6),E57),E57)</f>
        <v>0</v>
      </c>
      <c r="F23" s="31">
        <f>IFERROR(HYPERLINK(RolloverCell($B23,F$6),F57),F57)</f>
        <v>0</v>
      </c>
      <c r="G23" s="31">
        <f>IFERROR(HYPERLINK(RolloverCell($B23,G$6),G57),G57)</f>
        <v>0</v>
      </c>
      <c r="H23" s="43">
        <f>IFERROR(HYPERLINK(RolloverCell($B23,H$6),H57),H57)</f>
        <v>0</v>
      </c>
      <c r="I23" s="47">
        <f>IFERROR(HYPERLINK(RolloverCell($B23,I$6),I57),I57)</f>
        <v>0</v>
      </c>
      <c r="J23" s="31">
        <f>IFERROR(HYPERLINK(RolloverCell($B23,J$6),J57),J57)</f>
        <v>0</v>
      </c>
      <c r="K23" s="31">
        <f>IFERROR(HYPERLINK(RolloverCell($B23,K$6),K57),K57)</f>
        <v>0</v>
      </c>
      <c r="L23" s="31">
        <f>IFERROR(HYPERLINK(RolloverCell($B23,L$6),L57),L57)</f>
        <v>5</v>
      </c>
      <c r="M23" s="43">
        <f>IFERROR(HYPERLINK(RolloverCell($B23,M$6),M57),M57)</f>
        <v>6</v>
      </c>
      <c r="N23" s="47">
        <f>IFERROR(HYPERLINK(RolloverCell($B23,N$6),N57),N57)</f>
        <v>6</v>
      </c>
      <c r="O23" s="31">
        <f>IFERROR(HYPERLINK(RolloverCell($B23,O$6),O57),O57)</f>
        <v>7</v>
      </c>
      <c r="P23" s="31">
        <f>IFERROR(HYPERLINK(RolloverCell($B23,P$6),P57),P57)</f>
        <v>7</v>
      </c>
      <c r="Q23" s="31">
        <f>IFERROR(HYPERLINK(RolloverCell($B23,Q$6),Q57),Q57)</f>
        <v>8</v>
      </c>
      <c r="R23" s="43">
        <f>IFERROR(HYPERLINK(RolloverCell($B23,R$6),R57),R57)</f>
        <v>8</v>
      </c>
      <c r="S23" s="47">
        <f>IFERROR(HYPERLINK(RolloverCell($B23,S$6),S57),S57)</f>
        <v>9</v>
      </c>
      <c r="T23" s="31">
        <f>IFERROR(HYPERLINK(RolloverCell($B23,T$6),T57),T57)</f>
        <v>9</v>
      </c>
      <c r="U23" s="31">
        <f>IFERROR(HYPERLINK(RolloverCell($B23,U$6),U57),U57)</f>
        <v>9</v>
      </c>
      <c r="V23" s="31">
        <f>IFERROR(HYPERLINK(RolloverCell($B23,V$6),V57),V57)</f>
        <v>9</v>
      </c>
      <c r="W23" s="43">
        <f>IFERROR(HYPERLINK(RolloverCell($B23,W$6),W57),W57)</f>
        <v>9</v>
      </c>
      <c r="X23" s="47">
        <f>IFERROR(HYPERLINK(RolloverCell($B23,X$6),X57),X57)</f>
        <v>9</v>
      </c>
      <c r="Y23" s="31">
        <f>IFERROR(HYPERLINK(RolloverCell($B23,Y$6),Y57),Y57)</f>
        <v>6</v>
      </c>
      <c r="Z23" s="31">
        <f>IFERROR(HYPERLINK(RolloverCell($B23,Z$6),Z57),Z57)</f>
        <v>6</v>
      </c>
      <c r="AA23" s="31">
        <f>IFERROR(HYPERLINK(RolloverCell($B23,AA$6),AA57),AA57)</f>
        <v>6</v>
      </c>
      <c r="AB23" s="43">
        <f>IFERROR(HYPERLINK(RolloverCell($B23,AB$6),AB57),AB57)</f>
        <v>6</v>
      </c>
      <c r="AC23" s="31">
        <f>IFERROR(HYPERLINK(RolloverCell($B23,AC$6),AC57),AC57)</f>
        <v>6</v>
      </c>
      <c r="AD23" s="31">
        <f>IFERROR(HYPERLINK(RolloverCell($B23,AD$6),AD57),AD57)</f>
        <v>0</v>
      </c>
      <c r="AE23" s="31">
        <f>IFERROR(HYPERLINK(RolloverCell($B23,AE$6),AE57),AE57)</f>
        <v>0</v>
      </c>
      <c r="AF23" s="31">
        <f>IFERROR(HYPERLINK(RolloverCell($B23,AF$6),AF57),AF57)</f>
        <v>0</v>
      </c>
      <c r="AG23" s="32">
        <f>IFERROR(HYPERLINK(RolloverCell($B23,AG$6),AG57),AG57)</f>
        <v>0</v>
      </c>
      <c r="AH23" s="2"/>
      <c r="AI23" s="7"/>
      <c r="AJ23" s="2"/>
    </row>
    <row r="24" spans="1:36" x14ac:dyDescent="0.25">
      <c r="A24" s="2"/>
      <c r="B24" s="5">
        <f t="shared" si="0"/>
        <v>18</v>
      </c>
      <c r="C24" s="39" t="str">
        <f>INDEX(Calculation!$B$4:$B$45,Dashboard!B24,1)</f>
        <v>Project 18</v>
      </c>
      <c r="D24" s="33">
        <f>IFERROR(HYPERLINK(RolloverCell($B24,D$6),D58),D58)</f>
        <v>0</v>
      </c>
      <c r="E24" s="34">
        <f>IFERROR(HYPERLINK(RolloverCell($B24,E$6),E58),E58)</f>
        <v>0</v>
      </c>
      <c r="F24" s="34">
        <f>IFERROR(HYPERLINK(RolloverCell($B24,F$6),F58),F58)</f>
        <v>0</v>
      </c>
      <c r="G24" s="34">
        <f>IFERROR(HYPERLINK(RolloverCell($B24,G$6),G58),G58)</f>
        <v>0</v>
      </c>
      <c r="H24" s="45">
        <f>IFERROR(HYPERLINK(RolloverCell($B24,H$6),H58),H58)</f>
        <v>0</v>
      </c>
      <c r="I24" s="49">
        <f>IFERROR(HYPERLINK(RolloverCell($B24,I$6),I58),I58)</f>
        <v>0</v>
      </c>
      <c r="J24" s="34">
        <f>IFERROR(HYPERLINK(RolloverCell($B24,J$6),J58),J58)</f>
        <v>0</v>
      </c>
      <c r="K24" s="34">
        <f>IFERROR(HYPERLINK(RolloverCell($B24,K$6),K58),K58)</f>
        <v>0</v>
      </c>
      <c r="L24" s="34">
        <f>IFERROR(HYPERLINK(RolloverCell($B24,L$6),L58),L58)</f>
        <v>0</v>
      </c>
      <c r="M24" s="45">
        <f>IFERROR(HYPERLINK(RolloverCell($B24,M$6),M58),M58)</f>
        <v>5</v>
      </c>
      <c r="N24" s="49">
        <f>IFERROR(HYPERLINK(RolloverCell($B24,N$6),N58),N58)</f>
        <v>5</v>
      </c>
      <c r="O24" s="34">
        <f>IFERROR(HYPERLINK(RolloverCell($B24,O$6),O58),O58)</f>
        <v>6</v>
      </c>
      <c r="P24" s="34">
        <f>IFERROR(HYPERLINK(RolloverCell($B24,P$6),P58),P58)</f>
        <v>7</v>
      </c>
      <c r="Q24" s="34">
        <f>IFERROR(HYPERLINK(RolloverCell($B24,Q$6),Q58),Q58)</f>
        <v>8</v>
      </c>
      <c r="R24" s="45">
        <f>IFERROR(HYPERLINK(RolloverCell($B24,R$6),R58),R58)</f>
        <v>10</v>
      </c>
      <c r="S24" s="49">
        <f>IFERROR(HYPERLINK(RolloverCell($B24,S$6),S58),S58)</f>
        <v>11</v>
      </c>
      <c r="T24" s="34">
        <f>IFERROR(HYPERLINK(RolloverCell($B24,T$6),T58),T58)</f>
        <v>11</v>
      </c>
      <c r="U24" s="34">
        <f>IFERROR(HYPERLINK(RolloverCell($B24,U$6),U58),U58)</f>
        <v>12</v>
      </c>
      <c r="V24" s="34">
        <f>IFERROR(HYPERLINK(RolloverCell($B24,V$6),V58),V58)</f>
        <v>14</v>
      </c>
      <c r="W24" s="45">
        <f>IFERROR(HYPERLINK(RolloverCell($B24,W$6),W58),W58)</f>
        <v>15</v>
      </c>
      <c r="X24" s="49">
        <f>IFERROR(HYPERLINK(RolloverCell($B24,X$6),X58),X58)</f>
        <v>3</v>
      </c>
      <c r="Y24" s="34">
        <f>IFERROR(HYPERLINK(RolloverCell($B24,Y$6),Y58),Y58)</f>
        <v>0</v>
      </c>
      <c r="Z24" s="34">
        <f>IFERROR(HYPERLINK(RolloverCell($B24,Z$6),Z58),Z58)</f>
        <v>0</v>
      </c>
      <c r="AA24" s="34">
        <f>IFERROR(HYPERLINK(RolloverCell($B24,AA$6),AA58),AA58)</f>
        <v>0</v>
      </c>
      <c r="AB24" s="45">
        <f>IFERROR(HYPERLINK(RolloverCell($B24,AB$6),AB58),AB58)</f>
        <v>0</v>
      </c>
      <c r="AC24" s="34">
        <f>IFERROR(HYPERLINK(RolloverCell($B24,AC$6),AC58),AC58)</f>
        <v>0</v>
      </c>
      <c r="AD24" s="34">
        <f>IFERROR(HYPERLINK(RolloverCell($B24,AD$6),AD58),AD58)</f>
        <v>0</v>
      </c>
      <c r="AE24" s="34">
        <f>IFERROR(HYPERLINK(RolloverCell($B24,AE$6),AE58),AE58)</f>
        <v>0</v>
      </c>
      <c r="AF24" s="34">
        <f>IFERROR(HYPERLINK(RolloverCell($B24,AF$6),AF58),AF58)</f>
        <v>0</v>
      </c>
      <c r="AG24" s="35">
        <f>IFERROR(HYPERLINK(RolloverCell($B24,AG$6),AG58),AG58)</f>
        <v>0</v>
      </c>
      <c r="AH24" s="2"/>
      <c r="AI24" s="7"/>
      <c r="AJ24" s="2"/>
    </row>
    <row r="25" spans="1:36" ht="6" customHeight="1" x14ac:dyDescent="0.25">
      <c r="A25" s="2"/>
      <c r="B25" s="5"/>
      <c r="C25" s="50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2"/>
      <c r="AI25" s="7"/>
      <c r="AJ25" s="2"/>
    </row>
    <row r="26" spans="1:36" ht="14.25" customHeight="1" x14ac:dyDescent="0.25">
      <c r="A26" s="2"/>
      <c r="B26" s="5"/>
      <c r="C26" s="50"/>
      <c r="D26" s="68" t="s">
        <v>34</v>
      </c>
      <c r="E26" s="68"/>
      <c r="F26" s="68"/>
      <c r="G26" s="68"/>
      <c r="H26" s="68"/>
      <c r="I26" s="68"/>
      <c r="J26" s="68"/>
      <c r="K26" s="68"/>
      <c r="L26" s="2"/>
      <c r="M26" s="65"/>
      <c r="N26" s="64" t="s">
        <v>32</v>
      </c>
      <c r="O26" s="64"/>
      <c r="P26" s="64"/>
      <c r="Q26" s="64"/>
      <c r="R26" s="64"/>
      <c r="S26" s="67" t="s">
        <v>33</v>
      </c>
      <c r="T26" s="67"/>
      <c r="U26" s="67"/>
      <c r="V26" s="67"/>
      <c r="W26" s="67"/>
      <c r="X26" s="67"/>
      <c r="Y26" s="52"/>
      <c r="Z26" s="53">
        <f>Z27</f>
        <v>1</v>
      </c>
      <c r="AA26" s="53"/>
      <c r="AB26" s="53"/>
      <c r="AC26" s="53"/>
      <c r="AD26" s="53"/>
      <c r="AE26" s="53"/>
      <c r="AF26" s="53"/>
      <c r="AG26" s="53">
        <f t="shared" ref="AG26" si="1">AG27</f>
        <v>15</v>
      </c>
      <c r="AH26" s="2"/>
      <c r="AI26" s="7"/>
      <c r="AJ26" s="2"/>
    </row>
    <row r="27" spans="1:36" ht="7.5" customHeight="1" x14ac:dyDescent="0.25">
      <c r="A27" s="2"/>
      <c r="B27" s="5"/>
      <c r="C27" s="50"/>
      <c r="D27" s="68"/>
      <c r="E27" s="68"/>
      <c r="F27" s="68"/>
      <c r="G27" s="68"/>
      <c r="H27" s="68"/>
      <c r="I27" s="68"/>
      <c r="J27" s="68"/>
      <c r="K27" s="68"/>
      <c r="L27" s="2"/>
      <c r="M27" s="66"/>
      <c r="N27" s="64"/>
      <c r="O27" s="64"/>
      <c r="P27" s="64"/>
      <c r="Q27" s="64"/>
      <c r="R27" s="64"/>
      <c r="S27" s="67"/>
      <c r="T27" s="67"/>
      <c r="U27" s="67"/>
      <c r="V27" s="67"/>
      <c r="W27" s="67"/>
      <c r="X27" s="67"/>
      <c r="Y27" s="52">
        <v>0</v>
      </c>
      <c r="Z27" s="54">
        <f>SMALL(Dashboard.GanttChartArea,SUMPRODUCT(--(Dashboard.GanttChartArea=0))+1)</f>
        <v>1</v>
      </c>
      <c r="AA27" s="55">
        <f>($AG$27-$Z$27)/$AG$28*AA28</f>
        <v>3.5</v>
      </c>
      <c r="AB27" s="55">
        <f t="shared" ref="AB27:AF27" si="2">($AG$27-$Z$27)/$AG$28*AB28</f>
        <v>5.25</v>
      </c>
      <c r="AC27" s="55">
        <f t="shared" si="2"/>
        <v>7</v>
      </c>
      <c r="AD27" s="55">
        <f t="shared" si="2"/>
        <v>8.75</v>
      </c>
      <c r="AE27" s="55">
        <f t="shared" si="2"/>
        <v>10.5</v>
      </c>
      <c r="AF27" s="55">
        <f t="shared" si="2"/>
        <v>12.25</v>
      </c>
      <c r="AG27" s="55">
        <f>MAX(Dashboard.GanttChartArea)</f>
        <v>15</v>
      </c>
      <c r="AH27" s="2"/>
      <c r="AI27" s="7"/>
      <c r="AJ27" s="2"/>
    </row>
    <row r="28" spans="1:36" ht="6" customHeight="1" x14ac:dyDescent="0.25">
      <c r="A28" s="2"/>
      <c r="B28" s="5">
        <f>B24+1</f>
        <v>19</v>
      </c>
      <c r="C28" s="14"/>
      <c r="D28" s="15"/>
      <c r="E28" s="15"/>
      <c r="F28" s="15"/>
      <c r="G28" s="15"/>
      <c r="H28" s="15"/>
      <c r="I28" s="15"/>
      <c r="J28" s="15"/>
      <c r="K28" s="16"/>
      <c r="L28" s="16"/>
      <c r="M28" s="16"/>
      <c r="N28" s="16"/>
      <c r="O28" s="16"/>
      <c r="P28" s="16"/>
      <c r="Q28" s="16"/>
      <c r="R28" s="16"/>
      <c r="S28" s="56"/>
      <c r="T28" s="15"/>
      <c r="U28" s="15"/>
      <c r="V28" s="15"/>
      <c r="W28" s="15"/>
      <c r="X28" s="15"/>
      <c r="Y28" s="15"/>
      <c r="Z28" s="51">
        <v>1</v>
      </c>
      <c r="AA28" s="51">
        <v>2</v>
      </c>
      <c r="AB28" s="51">
        <v>3</v>
      </c>
      <c r="AC28" s="51">
        <v>4</v>
      </c>
      <c r="AD28" s="51">
        <v>5</v>
      </c>
      <c r="AE28" s="51">
        <v>6</v>
      </c>
      <c r="AF28" s="51">
        <v>7</v>
      </c>
      <c r="AG28" s="51">
        <v>8</v>
      </c>
      <c r="AH28" s="16"/>
      <c r="AI28" s="17"/>
      <c r="AJ28" s="2"/>
    </row>
    <row r="29" spans="1:36" ht="12.75" customHeight="1" x14ac:dyDescent="0.25">
      <c r="A29" s="2"/>
      <c r="B29" s="2"/>
      <c r="C29" s="2"/>
      <c r="D29" s="4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6"/>
      <c r="AJ29" s="2"/>
    </row>
    <row r="30" spans="1:36" ht="21" customHeight="1" x14ac:dyDescent="0.35">
      <c r="A30" s="2"/>
      <c r="B30" s="2"/>
      <c r="C30" s="58" t="s">
        <v>40</v>
      </c>
      <c r="D30" s="22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2"/>
      <c r="AI30" s="2"/>
      <c r="AJ30" s="2"/>
    </row>
    <row r="31" spans="1:36" ht="13.5" customHeight="1" x14ac:dyDescent="0.25">
      <c r="A31" s="2"/>
      <c r="B31" s="2"/>
      <c r="C31" s="59" t="s">
        <v>0</v>
      </c>
      <c r="D31" s="70" t="str">
        <f>INDEX(Calculation!B4:B21,Dashboard.CurrentRow)</f>
        <v>Project 1</v>
      </c>
      <c r="E31" s="70"/>
      <c r="F31" s="70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3" t="str">
        <f>D31 &amp; " (Day " &amp; D32 &amp; ")"</f>
        <v>Project 1 (Day 1)</v>
      </c>
      <c r="AJ31" s="2"/>
    </row>
    <row r="32" spans="1:36" ht="13.5" customHeight="1" x14ac:dyDescent="0.25">
      <c r="A32" s="2"/>
      <c r="B32" s="2"/>
      <c r="C32" s="59" t="s">
        <v>29</v>
      </c>
      <c r="D32" s="69">
        <f>Dashboard.CurrentColumn</f>
        <v>1</v>
      </c>
      <c r="E32" s="69"/>
      <c r="F32" s="69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4" t="str">
        <f>D33 &amp; " hrs worked"</f>
        <v>5 hrs worked</v>
      </c>
      <c r="AJ32" s="2"/>
    </row>
    <row r="33" spans="1:36" x14ac:dyDescent="0.25">
      <c r="A33" s="2"/>
      <c r="B33" s="2"/>
      <c r="C33" s="59" t="s">
        <v>30</v>
      </c>
      <c r="D33" s="69">
        <f>INDEX(Calculation!C4:AF21,Dashboard.CurrentRow,Dashboard.CurrentColumn)</f>
        <v>5</v>
      </c>
      <c r="E33" s="69"/>
      <c r="F33" s="69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5" t="str">
        <f>TEXT(D34, "#.##") &amp; " hrs per day on avg"</f>
        <v>. hrs per day on avg</v>
      </c>
      <c r="AJ33" s="2"/>
    </row>
    <row r="34" spans="1:36" x14ac:dyDescent="0.25">
      <c r="A34" s="2"/>
      <c r="B34" s="2"/>
      <c r="C34" s="59" t="s">
        <v>41</v>
      </c>
      <c r="D34" s="69">
        <f>INDEX(Calculation!AI4:AI21,Dashboard.CurrentRow)</f>
        <v>0</v>
      </c>
      <c r="E34" s="69"/>
      <c r="F34" s="69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2"/>
      <c r="C36" s="59" t="s">
        <v>27</v>
      </c>
      <c r="D36" s="69">
        <v>1</v>
      </c>
      <c r="E36" s="69"/>
      <c r="F36" s="69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2"/>
      <c r="C37" s="59" t="s">
        <v>28</v>
      </c>
      <c r="D37" s="69">
        <v>1</v>
      </c>
      <c r="E37" s="69"/>
      <c r="F37" s="69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2"/>
      <c r="C40" s="2"/>
      <c r="D40" s="2" t="s">
        <v>42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2"/>
      <c r="C41" s="2"/>
      <c r="D41" s="61">
        <f>Calculation!C4</f>
        <v>5</v>
      </c>
      <c r="E41" s="61">
        <v>5</v>
      </c>
      <c r="F41" s="61">
        <v>4</v>
      </c>
      <c r="G41" s="61">
        <v>3</v>
      </c>
      <c r="H41" s="61">
        <v>2</v>
      </c>
      <c r="I41" s="61">
        <v>1</v>
      </c>
      <c r="J41" s="61">
        <v>0</v>
      </c>
      <c r="K41" s="61">
        <v>0</v>
      </c>
      <c r="L41" s="61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0</v>
      </c>
      <c r="AC41" s="60">
        <v>0</v>
      </c>
      <c r="AD41" s="60">
        <v>0</v>
      </c>
      <c r="AE41" s="60">
        <v>0</v>
      </c>
      <c r="AF41" s="60">
        <v>0</v>
      </c>
      <c r="AG41" s="60">
        <v>0</v>
      </c>
      <c r="AH41" s="2"/>
      <c r="AI41" s="2"/>
      <c r="AJ41" s="2"/>
    </row>
    <row r="42" spans="1:36" x14ac:dyDescent="0.25">
      <c r="A42" s="2"/>
      <c r="B42" s="2"/>
      <c r="C42" s="2"/>
      <c r="D42" s="60">
        <v>0</v>
      </c>
      <c r="E42" s="60">
        <v>6</v>
      </c>
      <c r="F42" s="60">
        <v>6</v>
      </c>
      <c r="G42" s="60">
        <v>5</v>
      </c>
      <c r="H42" s="60">
        <v>4</v>
      </c>
      <c r="I42" s="60">
        <v>3</v>
      </c>
      <c r="J42" s="60">
        <v>3</v>
      </c>
      <c r="K42" s="60">
        <v>3</v>
      </c>
      <c r="L42" s="60">
        <v>2</v>
      </c>
      <c r="M42" s="60">
        <v>1</v>
      </c>
      <c r="N42" s="60">
        <v>0</v>
      </c>
      <c r="O42" s="60">
        <v>0</v>
      </c>
      <c r="P42" s="60">
        <v>0</v>
      </c>
      <c r="Q42" s="60">
        <v>0</v>
      </c>
      <c r="R42" s="60">
        <v>0</v>
      </c>
      <c r="S42" s="60">
        <v>0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0</v>
      </c>
      <c r="AC42" s="60">
        <v>0</v>
      </c>
      <c r="AD42" s="60">
        <v>0</v>
      </c>
      <c r="AE42" s="60">
        <v>0</v>
      </c>
      <c r="AF42" s="60">
        <v>0</v>
      </c>
      <c r="AG42" s="60">
        <v>0</v>
      </c>
      <c r="AH42" s="2"/>
      <c r="AI42" s="2"/>
      <c r="AJ42" s="2"/>
    </row>
    <row r="43" spans="1:36" x14ac:dyDescent="0.25">
      <c r="A43" s="2"/>
      <c r="B43" s="2"/>
      <c r="C43" s="2"/>
      <c r="D43" s="60">
        <v>0</v>
      </c>
      <c r="E43" s="60">
        <v>4</v>
      </c>
      <c r="F43" s="60">
        <v>5</v>
      </c>
      <c r="G43" s="60">
        <v>6</v>
      </c>
      <c r="H43" s="60">
        <v>7</v>
      </c>
      <c r="I43" s="60">
        <v>7</v>
      </c>
      <c r="J43" s="60">
        <v>6</v>
      </c>
      <c r="K43" s="60">
        <v>6</v>
      </c>
      <c r="L43" s="60">
        <v>5</v>
      </c>
      <c r="M43" s="60">
        <v>4</v>
      </c>
      <c r="N43" s="60">
        <v>3</v>
      </c>
      <c r="O43" s="60">
        <v>2</v>
      </c>
      <c r="P43" s="60">
        <v>1</v>
      </c>
      <c r="Q43" s="60">
        <v>0</v>
      </c>
      <c r="R43" s="60">
        <v>0</v>
      </c>
      <c r="S43" s="60">
        <v>0</v>
      </c>
      <c r="T43" s="60">
        <v>0</v>
      </c>
      <c r="U43" s="60">
        <v>0</v>
      </c>
      <c r="V43" s="60">
        <v>0</v>
      </c>
      <c r="W43" s="60">
        <v>0</v>
      </c>
      <c r="X43" s="60">
        <v>0</v>
      </c>
      <c r="Y43" s="60">
        <v>0</v>
      </c>
      <c r="Z43" s="60">
        <v>0</v>
      </c>
      <c r="AA43" s="60">
        <v>0</v>
      </c>
      <c r="AB43" s="60">
        <v>0</v>
      </c>
      <c r="AC43" s="60">
        <v>0</v>
      </c>
      <c r="AD43" s="60">
        <v>0</v>
      </c>
      <c r="AE43" s="60">
        <v>0</v>
      </c>
      <c r="AF43" s="60">
        <v>0</v>
      </c>
      <c r="AG43" s="60">
        <v>0</v>
      </c>
      <c r="AH43" s="2"/>
      <c r="AI43" s="2"/>
      <c r="AJ43" s="2"/>
    </row>
    <row r="44" spans="1:36" x14ac:dyDescent="0.25">
      <c r="A44" s="2"/>
      <c r="B44" s="2"/>
      <c r="C44" s="2"/>
      <c r="D44" s="60">
        <v>0</v>
      </c>
      <c r="E44" s="60">
        <v>0</v>
      </c>
      <c r="F44" s="60">
        <v>5</v>
      </c>
      <c r="G44" s="60">
        <v>6</v>
      </c>
      <c r="H44" s="60">
        <v>6</v>
      </c>
      <c r="I44" s="60">
        <v>6</v>
      </c>
      <c r="J44" s="60">
        <v>7</v>
      </c>
      <c r="K44" s="60">
        <v>7</v>
      </c>
      <c r="L44" s="60">
        <v>10</v>
      </c>
      <c r="M44" s="60">
        <v>10</v>
      </c>
      <c r="N44" s="60">
        <v>9</v>
      </c>
      <c r="O44" s="60">
        <v>9</v>
      </c>
      <c r="P44" s="60">
        <v>9</v>
      </c>
      <c r="Q44" s="60">
        <v>9</v>
      </c>
      <c r="R44" s="60">
        <v>9</v>
      </c>
      <c r="S44" s="60">
        <v>9</v>
      </c>
      <c r="T44" s="60">
        <v>9</v>
      </c>
      <c r="U44" s="60">
        <v>8</v>
      </c>
      <c r="V44" s="60">
        <v>8</v>
      </c>
      <c r="W44" s="60">
        <v>8</v>
      </c>
      <c r="X44" s="60">
        <v>8</v>
      </c>
      <c r="Y44" s="60">
        <v>8</v>
      </c>
      <c r="Z44" s="60">
        <v>8</v>
      </c>
      <c r="AA44" s="60">
        <v>8</v>
      </c>
      <c r="AB44" s="60">
        <v>0</v>
      </c>
      <c r="AC44" s="60">
        <v>0</v>
      </c>
      <c r="AD44" s="60">
        <v>0</v>
      </c>
      <c r="AE44" s="60">
        <v>0</v>
      </c>
      <c r="AF44" s="60">
        <v>0</v>
      </c>
      <c r="AG44" s="60">
        <v>0</v>
      </c>
      <c r="AH44" s="2"/>
      <c r="AI44" s="2"/>
      <c r="AJ44" s="2"/>
    </row>
    <row r="45" spans="1:36" x14ac:dyDescent="0.25">
      <c r="A45" s="2"/>
      <c r="B45" s="2"/>
      <c r="C45" s="2"/>
      <c r="D45" s="60">
        <v>0</v>
      </c>
      <c r="E45" s="60">
        <v>0</v>
      </c>
      <c r="F45" s="60">
        <v>0</v>
      </c>
      <c r="G45" s="60">
        <v>4</v>
      </c>
      <c r="H45" s="60">
        <v>4</v>
      </c>
      <c r="I45" s="60">
        <v>5</v>
      </c>
      <c r="J45" s="60">
        <v>5</v>
      </c>
      <c r="K45" s="60">
        <v>5</v>
      </c>
      <c r="L45" s="60">
        <v>4</v>
      </c>
      <c r="M45" s="60">
        <v>4</v>
      </c>
      <c r="N45" s="60">
        <v>3</v>
      </c>
      <c r="O45" s="60">
        <v>2</v>
      </c>
      <c r="P45" s="60">
        <v>1</v>
      </c>
      <c r="Q45" s="60">
        <v>1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60">
        <v>0</v>
      </c>
      <c r="X45" s="60">
        <v>0</v>
      </c>
      <c r="Y45" s="60">
        <v>0</v>
      </c>
      <c r="Z45" s="60">
        <v>0</v>
      </c>
      <c r="AA45" s="60">
        <v>0</v>
      </c>
      <c r="AB45" s="60">
        <v>0</v>
      </c>
      <c r="AC45" s="60">
        <v>0</v>
      </c>
      <c r="AD45" s="60">
        <v>0</v>
      </c>
      <c r="AE45" s="60">
        <v>0</v>
      </c>
      <c r="AF45" s="60">
        <v>0</v>
      </c>
      <c r="AG45" s="60">
        <v>0</v>
      </c>
      <c r="AH45" s="2"/>
      <c r="AI45" s="2"/>
      <c r="AJ45" s="2"/>
    </row>
    <row r="46" spans="1:36" x14ac:dyDescent="0.25">
      <c r="A46" s="2"/>
      <c r="B46" s="2"/>
      <c r="C46" s="2"/>
      <c r="D46" s="60">
        <v>0</v>
      </c>
      <c r="E46" s="60">
        <v>0</v>
      </c>
      <c r="F46" s="60">
        <v>0</v>
      </c>
      <c r="G46" s="60">
        <v>4</v>
      </c>
      <c r="H46" s="60">
        <v>5</v>
      </c>
      <c r="I46" s="60">
        <v>6</v>
      </c>
      <c r="J46" s="60">
        <v>6</v>
      </c>
      <c r="K46" s="60">
        <v>5</v>
      </c>
      <c r="L46" s="60">
        <v>4</v>
      </c>
      <c r="M46" s="60">
        <v>3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60">
        <v>0</v>
      </c>
      <c r="X46" s="60">
        <v>0</v>
      </c>
      <c r="Y46" s="60">
        <v>0</v>
      </c>
      <c r="Z46" s="60">
        <v>0</v>
      </c>
      <c r="AA46" s="60">
        <v>0</v>
      </c>
      <c r="AB46" s="60">
        <v>0</v>
      </c>
      <c r="AC46" s="60">
        <v>0</v>
      </c>
      <c r="AD46" s="60">
        <v>0</v>
      </c>
      <c r="AE46" s="60">
        <v>0</v>
      </c>
      <c r="AF46" s="60">
        <v>0</v>
      </c>
      <c r="AG46" s="60">
        <v>0</v>
      </c>
      <c r="AH46" s="2"/>
      <c r="AI46" s="2"/>
      <c r="AJ46" s="2"/>
    </row>
    <row r="47" spans="1:36" x14ac:dyDescent="0.25">
      <c r="A47" s="2"/>
      <c r="B47" s="2"/>
      <c r="C47" s="2"/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5</v>
      </c>
      <c r="J47" s="60">
        <v>5</v>
      </c>
      <c r="K47" s="60">
        <v>6</v>
      </c>
      <c r="L47" s="60">
        <v>7</v>
      </c>
      <c r="M47" s="60">
        <v>8</v>
      </c>
      <c r="N47" s="60">
        <v>10</v>
      </c>
      <c r="O47" s="60">
        <v>11</v>
      </c>
      <c r="P47" s="60">
        <v>11</v>
      </c>
      <c r="Q47" s="60">
        <v>12</v>
      </c>
      <c r="R47" s="60">
        <v>14</v>
      </c>
      <c r="S47" s="60">
        <v>15</v>
      </c>
      <c r="T47" s="60">
        <v>3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  <c r="AB47" s="60">
        <v>0</v>
      </c>
      <c r="AC47" s="60">
        <v>0</v>
      </c>
      <c r="AD47" s="60">
        <v>0</v>
      </c>
      <c r="AE47" s="60">
        <v>0</v>
      </c>
      <c r="AF47" s="60">
        <v>0</v>
      </c>
      <c r="AG47" s="60">
        <v>0</v>
      </c>
      <c r="AH47" s="2"/>
      <c r="AI47" s="2"/>
      <c r="AJ47" s="2"/>
    </row>
    <row r="48" spans="1:36" x14ac:dyDescent="0.25">
      <c r="A48" s="2"/>
      <c r="B48" s="2"/>
      <c r="C48" s="2"/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3</v>
      </c>
      <c r="J48" s="60">
        <v>4</v>
      </c>
      <c r="K48" s="60">
        <v>5</v>
      </c>
      <c r="L48" s="60">
        <v>5</v>
      </c>
      <c r="M48" s="60">
        <v>4</v>
      </c>
      <c r="N48" s="60">
        <v>3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  <c r="AB48" s="60">
        <v>0</v>
      </c>
      <c r="AC48" s="60">
        <v>0</v>
      </c>
      <c r="AD48" s="60">
        <v>0</v>
      </c>
      <c r="AE48" s="60">
        <v>0</v>
      </c>
      <c r="AF48" s="60">
        <v>0</v>
      </c>
      <c r="AG48" s="60">
        <v>0</v>
      </c>
      <c r="AH48" s="2"/>
      <c r="AI48" s="2"/>
      <c r="AJ48" s="2"/>
    </row>
    <row r="49" spans="1:36" x14ac:dyDescent="0.25">
      <c r="A49" s="2"/>
      <c r="B49" s="2"/>
      <c r="C49" s="2"/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5</v>
      </c>
      <c r="K49" s="60">
        <v>6</v>
      </c>
      <c r="L49" s="60">
        <v>6</v>
      </c>
      <c r="M49" s="60">
        <v>7</v>
      </c>
      <c r="N49" s="60">
        <v>7</v>
      </c>
      <c r="O49" s="60">
        <v>8</v>
      </c>
      <c r="P49" s="60">
        <v>8</v>
      </c>
      <c r="Q49" s="60">
        <v>9</v>
      </c>
      <c r="R49" s="60">
        <v>9</v>
      </c>
      <c r="S49" s="60">
        <v>9</v>
      </c>
      <c r="T49" s="60">
        <v>9</v>
      </c>
      <c r="U49" s="60">
        <v>9</v>
      </c>
      <c r="V49" s="60">
        <v>9</v>
      </c>
      <c r="W49" s="60">
        <v>6</v>
      </c>
      <c r="X49" s="60">
        <v>6</v>
      </c>
      <c r="Y49" s="60">
        <v>6</v>
      </c>
      <c r="Z49" s="60">
        <v>6</v>
      </c>
      <c r="AA49" s="60">
        <v>6</v>
      </c>
      <c r="AB49" s="60">
        <v>0</v>
      </c>
      <c r="AC49" s="60">
        <v>0</v>
      </c>
      <c r="AD49" s="60">
        <v>0</v>
      </c>
      <c r="AE49" s="60">
        <v>0</v>
      </c>
      <c r="AF49" s="60">
        <v>0</v>
      </c>
      <c r="AG49" s="60">
        <v>0</v>
      </c>
      <c r="AH49" s="2"/>
      <c r="AI49" s="2"/>
      <c r="AJ49" s="2"/>
    </row>
    <row r="50" spans="1:36" x14ac:dyDescent="0.25">
      <c r="A50" s="2"/>
      <c r="B50" s="2"/>
      <c r="C50" s="2"/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5</v>
      </c>
      <c r="K50" s="60">
        <v>6</v>
      </c>
      <c r="L50" s="60">
        <v>6</v>
      </c>
      <c r="M50" s="60">
        <v>7</v>
      </c>
      <c r="N50" s="60">
        <v>7</v>
      </c>
      <c r="O50" s="60">
        <v>8</v>
      </c>
      <c r="P50" s="60">
        <v>8</v>
      </c>
      <c r="Q50" s="60">
        <v>9</v>
      </c>
      <c r="R50" s="60">
        <v>9</v>
      </c>
      <c r="S50" s="60">
        <v>0</v>
      </c>
      <c r="T50" s="60">
        <v>0</v>
      </c>
      <c r="U50" s="60">
        <v>0</v>
      </c>
      <c r="V50" s="60">
        <v>0</v>
      </c>
      <c r="W50" s="60">
        <v>0</v>
      </c>
      <c r="X50" s="60">
        <v>0</v>
      </c>
      <c r="Y50" s="60">
        <v>0</v>
      </c>
      <c r="Z50" s="60">
        <v>0</v>
      </c>
      <c r="AA50" s="60">
        <v>0</v>
      </c>
      <c r="AB50" s="60">
        <v>0</v>
      </c>
      <c r="AC50" s="60">
        <v>0</v>
      </c>
      <c r="AD50" s="60">
        <v>0</v>
      </c>
      <c r="AE50" s="60">
        <v>0</v>
      </c>
      <c r="AF50" s="60">
        <v>0</v>
      </c>
      <c r="AG50" s="60">
        <v>0</v>
      </c>
      <c r="AH50" s="2"/>
      <c r="AI50" s="2"/>
      <c r="AJ50" s="2"/>
    </row>
    <row r="51" spans="1:36" x14ac:dyDescent="0.25">
      <c r="A51" s="2"/>
      <c r="B51" s="2"/>
      <c r="C51" s="2"/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5</v>
      </c>
      <c r="K51" s="60">
        <v>6</v>
      </c>
      <c r="L51" s="60">
        <v>6</v>
      </c>
      <c r="M51" s="60">
        <v>5</v>
      </c>
      <c r="N51" s="60">
        <v>4</v>
      </c>
      <c r="O51" s="60">
        <v>3</v>
      </c>
      <c r="P51" s="60">
        <v>0</v>
      </c>
      <c r="Q51" s="60">
        <v>0</v>
      </c>
      <c r="R51" s="60">
        <v>0</v>
      </c>
      <c r="S51" s="60">
        <v>0</v>
      </c>
      <c r="T51" s="60">
        <v>0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0</v>
      </c>
      <c r="AG51" s="60">
        <v>0</v>
      </c>
      <c r="AH51" s="2"/>
      <c r="AI51" s="2"/>
      <c r="AJ51" s="2"/>
    </row>
    <row r="52" spans="1:36" x14ac:dyDescent="0.25">
      <c r="A52" s="2"/>
      <c r="B52" s="2"/>
      <c r="C52" s="2"/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  <c r="K52" s="60">
        <v>7</v>
      </c>
      <c r="L52" s="60">
        <v>7</v>
      </c>
      <c r="M52" s="60">
        <v>6</v>
      </c>
      <c r="N52" s="60">
        <v>6</v>
      </c>
      <c r="O52" s="60">
        <v>5</v>
      </c>
      <c r="P52" s="60">
        <v>4</v>
      </c>
      <c r="Q52" s="60">
        <v>3</v>
      </c>
      <c r="R52" s="60">
        <v>2</v>
      </c>
      <c r="S52" s="60">
        <v>0</v>
      </c>
      <c r="T52" s="60">
        <v>0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2"/>
      <c r="AI52" s="2"/>
      <c r="AJ52" s="2"/>
    </row>
    <row r="53" spans="1:36" x14ac:dyDescent="0.25">
      <c r="A53" s="2"/>
      <c r="B53" s="2"/>
      <c r="C53" s="2"/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  <c r="K53" s="60">
        <v>0</v>
      </c>
      <c r="L53" s="60">
        <v>6</v>
      </c>
      <c r="M53" s="60">
        <v>6</v>
      </c>
      <c r="N53" s="60">
        <v>7</v>
      </c>
      <c r="O53" s="60">
        <v>7</v>
      </c>
      <c r="P53" s="60">
        <v>8</v>
      </c>
      <c r="Q53" s="60">
        <v>8</v>
      </c>
      <c r="R53" s="60">
        <v>9</v>
      </c>
      <c r="S53" s="60">
        <v>9</v>
      </c>
      <c r="T53" s="60">
        <v>9</v>
      </c>
      <c r="U53" s="60">
        <v>9</v>
      </c>
      <c r="V53" s="60">
        <v>9</v>
      </c>
      <c r="W53" s="60">
        <v>9</v>
      </c>
      <c r="X53" s="60">
        <v>6</v>
      </c>
      <c r="Y53" s="60">
        <v>6</v>
      </c>
      <c r="Z53" s="60">
        <v>6</v>
      </c>
      <c r="AA53" s="60">
        <v>6</v>
      </c>
      <c r="AB53" s="60">
        <v>6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2"/>
      <c r="AI53" s="2"/>
      <c r="AJ53" s="2"/>
    </row>
    <row r="54" spans="1:36" x14ac:dyDescent="0.25">
      <c r="A54" s="2"/>
      <c r="B54" s="2"/>
      <c r="C54" s="2"/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  <c r="K54" s="60">
        <v>0</v>
      </c>
      <c r="L54" s="60">
        <v>5</v>
      </c>
      <c r="M54" s="60">
        <v>6</v>
      </c>
      <c r="N54" s="60">
        <v>6</v>
      </c>
      <c r="O54" s="60">
        <v>6</v>
      </c>
      <c r="P54" s="60">
        <v>7</v>
      </c>
      <c r="Q54" s="60">
        <v>7</v>
      </c>
      <c r="R54" s="60">
        <v>10</v>
      </c>
      <c r="S54" s="60">
        <v>10</v>
      </c>
      <c r="T54" s="60">
        <v>10</v>
      </c>
      <c r="U54" s="60">
        <v>10</v>
      </c>
      <c r="V54" s="60">
        <v>0</v>
      </c>
      <c r="W54" s="60">
        <v>0</v>
      </c>
      <c r="X54" s="60">
        <v>0</v>
      </c>
      <c r="Y54" s="60">
        <v>0</v>
      </c>
      <c r="Z54" s="60">
        <v>0</v>
      </c>
      <c r="AA54" s="60">
        <v>0</v>
      </c>
      <c r="AB54" s="60">
        <v>0</v>
      </c>
      <c r="AC54" s="60">
        <v>0</v>
      </c>
      <c r="AD54" s="60">
        <v>0</v>
      </c>
      <c r="AE54" s="60">
        <v>0</v>
      </c>
      <c r="AF54" s="60">
        <v>0</v>
      </c>
      <c r="AG54" s="60">
        <v>0</v>
      </c>
      <c r="AH54" s="2"/>
      <c r="AI54" s="2"/>
      <c r="AJ54" s="2"/>
    </row>
    <row r="55" spans="1:36" x14ac:dyDescent="0.25">
      <c r="A55" s="2"/>
      <c r="B55" s="2"/>
      <c r="C55" s="2"/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  <c r="K55" s="60">
        <v>0</v>
      </c>
      <c r="L55" s="60">
        <v>7</v>
      </c>
      <c r="M55" s="60">
        <v>7</v>
      </c>
      <c r="N55" s="60">
        <v>6</v>
      </c>
      <c r="O55" s="60">
        <v>6</v>
      </c>
      <c r="P55" s="60">
        <v>5</v>
      </c>
      <c r="Q55" s="60">
        <v>4</v>
      </c>
      <c r="R55" s="60">
        <v>3</v>
      </c>
      <c r="S55" s="60">
        <v>2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0</v>
      </c>
      <c r="Z55" s="60">
        <v>0</v>
      </c>
      <c r="AA55" s="60">
        <v>0</v>
      </c>
      <c r="AB55" s="60">
        <v>0</v>
      </c>
      <c r="AC55" s="60">
        <v>0</v>
      </c>
      <c r="AD55" s="60">
        <v>0</v>
      </c>
      <c r="AE55" s="60">
        <v>0</v>
      </c>
      <c r="AF55" s="60">
        <v>0</v>
      </c>
      <c r="AG55" s="60">
        <v>0</v>
      </c>
      <c r="AH55" s="2"/>
      <c r="AI55" s="2"/>
      <c r="AJ55" s="2"/>
    </row>
    <row r="56" spans="1:36" x14ac:dyDescent="0.25">
      <c r="A56" s="2"/>
      <c r="B56" s="2"/>
      <c r="C56" s="2"/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  <c r="K56" s="60">
        <v>0</v>
      </c>
      <c r="L56" s="60">
        <v>5</v>
      </c>
      <c r="M56" s="60">
        <v>5</v>
      </c>
      <c r="N56" s="60">
        <v>4</v>
      </c>
      <c r="O56" s="60">
        <v>3</v>
      </c>
      <c r="P56" s="60">
        <v>2</v>
      </c>
      <c r="Q56" s="60">
        <v>0</v>
      </c>
      <c r="R56" s="60">
        <v>0</v>
      </c>
      <c r="S56" s="60">
        <v>0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  <c r="AB56" s="60">
        <v>0</v>
      </c>
      <c r="AC56" s="60">
        <v>0</v>
      </c>
      <c r="AD56" s="60">
        <v>0</v>
      </c>
      <c r="AE56" s="60">
        <v>0</v>
      </c>
      <c r="AF56" s="60">
        <v>0</v>
      </c>
      <c r="AG56" s="60">
        <v>0</v>
      </c>
      <c r="AH56" s="2"/>
      <c r="AI56" s="2"/>
      <c r="AJ56" s="2"/>
    </row>
    <row r="57" spans="1:36" x14ac:dyDescent="0.25">
      <c r="A57" s="2"/>
      <c r="B57" s="2"/>
      <c r="C57" s="2"/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  <c r="K57" s="60">
        <v>0</v>
      </c>
      <c r="L57" s="60">
        <v>5</v>
      </c>
      <c r="M57" s="60">
        <v>6</v>
      </c>
      <c r="N57" s="60">
        <v>6</v>
      </c>
      <c r="O57" s="60">
        <v>7</v>
      </c>
      <c r="P57" s="60">
        <v>7</v>
      </c>
      <c r="Q57" s="60">
        <v>8</v>
      </c>
      <c r="R57" s="60">
        <v>8</v>
      </c>
      <c r="S57" s="60">
        <v>9</v>
      </c>
      <c r="T57" s="60">
        <v>9</v>
      </c>
      <c r="U57" s="60">
        <v>9</v>
      </c>
      <c r="V57" s="60">
        <v>9</v>
      </c>
      <c r="W57" s="60">
        <v>9</v>
      </c>
      <c r="X57" s="60">
        <v>9</v>
      </c>
      <c r="Y57" s="60">
        <v>6</v>
      </c>
      <c r="Z57" s="60">
        <v>6</v>
      </c>
      <c r="AA57" s="60">
        <v>6</v>
      </c>
      <c r="AB57" s="60">
        <v>6</v>
      </c>
      <c r="AC57" s="60">
        <v>6</v>
      </c>
      <c r="AD57" s="60">
        <v>0</v>
      </c>
      <c r="AE57" s="60">
        <v>0</v>
      </c>
      <c r="AF57" s="60">
        <v>0</v>
      </c>
      <c r="AG57" s="60">
        <v>0</v>
      </c>
      <c r="AH57" s="2"/>
      <c r="AI57" s="2"/>
      <c r="AJ57" s="2"/>
    </row>
    <row r="58" spans="1:36" x14ac:dyDescent="0.25">
      <c r="A58" s="2"/>
      <c r="B58" s="2"/>
      <c r="C58" s="2"/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  <c r="K58" s="60">
        <v>0</v>
      </c>
      <c r="L58" s="60">
        <v>0</v>
      </c>
      <c r="M58" s="60">
        <v>5</v>
      </c>
      <c r="N58" s="60">
        <v>5</v>
      </c>
      <c r="O58" s="60">
        <v>6</v>
      </c>
      <c r="P58" s="60">
        <v>7</v>
      </c>
      <c r="Q58" s="60">
        <v>8</v>
      </c>
      <c r="R58" s="60">
        <v>10</v>
      </c>
      <c r="S58" s="60">
        <v>11</v>
      </c>
      <c r="T58" s="60">
        <v>11</v>
      </c>
      <c r="U58" s="60">
        <v>12</v>
      </c>
      <c r="V58" s="60">
        <v>14</v>
      </c>
      <c r="W58" s="60">
        <v>15</v>
      </c>
      <c r="X58" s="60">
        <v>3</v>
      </c>
      <c r="Y58" s="60">
        <v>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0</v>
      </c>
      <c r="AF58" s="60">
        <v>0</v>
      </c>
      <c r="AG58" s="60">
        <v>0</v>
      </c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 t="s">
        <v>26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>
        <v>1</v>
      </c>
      <c r="E61" s="2">
        <v>2</v>
      </c>
      <c r="F61" s="2">
        <v>3</v>
      </c>
      <c r="G61" s="2">
        <v>4</v>
      </c>
      <c r="H61" s="2">
        <v>5</v>
      </c>
      <c r="I61" s="2">
        <v>6</v>
      </c>
      <c r="J61" s="2">
        <v>7</v>
      </c>
      <c r="K61" s="2">
        <v>8</v>
      </c>
      <c r="L61" s="2">
        <v>9</v>
      </c>
      <c r="M61" s="2">
        <v>10</v>
      </c>
      <c r="N61" s="2">
        <v>11</v>
      </c>
      <c r="O61" s="2">
        <v>12</v>
      </c>
      <c r="P61" s="2">
        <v>13</v>
      </c>
      <c r="Q61" s="2">
        <v>14</v>
      </c>
      <c r="R61" s="2">
        <v>15</v>
      </c>
      <c r="S61" s="2">
        <v>16</v>
      </c>
      <c r="T61" s="2">
        <v>17</v>
      </c>
      <c r="U61" s="2">
        <v>18</v>
      </c>
      <c r="V61" s="2">
        <v>19</v>
      </c>
      <c r="W61" s="2">
        <v>20</v>
      </c>
      <c r="X61" s="2">
        <v>21</v>
      </c>
      <c r="Y61" s="2">
        <v>22</v>
      </c>
      <c r="Z61" s="2">
        <v>23</v>
      </c>
      <c r="AA61" s="2">
        <v>24</v>
      </c>
      <c r="AB61" s="2">
        <v>25</v>
      </c>
      <c r="AC61" s="2">
        <v>26</v>
      </c>
      <c r="AD61" s="2">
        <v>27</v>
      </c>
      <c r="AE61" s="2">
        <v>28</v>
      </c>
      <c r="AF61" s="2">
        <v>29</v>
      </c>
      <c r="AG61" s="2">
        <v>30</v>
      </c>
      <c r="AH61" s="2"/>
      <c r="AI61" s="2"/>
      <c r="AJ61" s="2"/>
    </row>
    <row r="62" spans="1:36" x14ac:dyDescent="0.25">
      <c r="A62" s="2"/>
      <c r="B62" s="2"/>
      <c r="C62" s="2">
        <v>1</v>
      </c>
      <c r="D62" s="60">
        <f t="shared" ref="D62:M71" si="3">--AND($C62=Dashboard.CurrentRow,D$61=Dashboard.CurrentColumn)</f>
        <v>1</v>
      </c>
      <c r="E62" s="60">
        <f t="shared" si="3"/>
        <v>0</v>
      </c>
      <c r="F62" s="60">
        <f t="shared" si="3"/>
        <v>0</v>
      </c>
      <c r="G62" s="60">
        <f t="shared" si="3"/>
        <v>0</v>
      </c>
      <c r="H62" s="60">
        <f t="shared" si="3"/>
        <v>0</v>
      </c>
      <c r="I62" s="60">
        <f t="shared" si="3"/>
        <v>0</v>
      </c>
      <c r="J62" s="60">
        <f t="shared" si="3"/>
        <v>0</v>
      </c>
      <c r="K62" s="60">
        <f t="shared" si="3"/>
        <v>0</v>
      </c>
      <c r="L62" s="60">
        <f t="shared" si="3"/>
        <v>0</v>
      </c>
      <c r="M62" s="60">
        <f t="shared" si="3"/>
        <v>0</v>
      </c>
      <c r="N62" s="60">
        <f t="shared" ref="N62:W71" si="4">--AND($C62=Dashboard.CurrentRow,N$61=Dashboard.CurrentColumn)</f>
        <v>0</v>
      </c>
      <c r="O62" s="60">
        <f t="shared" si="4"/>
        <v>0</v>
      </c>
      <c r="P62" s="60">
        <f t="shared" si="4"/>
        <v>0</v>
      </c>
      <c r="Q62" s="60">
        <f t="shared" si="4"/>
        <v>0</v>
      </c>
      <c r="R62" s="60">
        <f t="shared" si="4"/>
        <v>0</v>
      </c>
      <c r="S62" s="60">
        <f t="shared" si="4"/>
        <v>0</v>
      </c>
      <c r="T62" s="60">
        <f t="shared" si="4"/>
        <v>0</v>
      </c>
      <c r="U62" s="60">
        <f t="shared" si="4"/>
        <v>0</v>
      </c>
      <c r="V62" s="60">
        <f t="shared" si="4"/>
        <v>0</v>
      </c>
      <c r="W62" s="60">
        <f t="shared" si="4"/>
        <v>0</v>
      </c>
      <c r="X62" s="60">
        <f t="shared" ref="X62:AG71" si="5">--AND($C62=Dashboard.CurrentRow,X$61=Dashboard.CurrentColumn)</f>
        <v>0</v>
      </c>
      <c r="Y62" s="60">
        <f t="shared" si="5"/>
        <v>0</v>
      </c>
      <c r="Z62" s="60">
        <f t="shared" si="5"/>
        <v>0</v>
      </c>
      <c r="AA62" s="60">
        <f t="shared" si="5"/>
        <v>0</v>
      </c>
      <c r="AB62" s="60">
        <f t="shared" si="5"/>
        <v>0</v>
      </c>
      <c r="AC62" s="60">
        <f t="shared" si="5"/>
        <v>0</v>
      </c>
      <c r="AD62" s="60">
        <f t="shared" si="5"/>
        <v>0</v>
      </c>
      <c r="AE62" s="60">
        <f t="shared" si="5"/>
        <v>0</v>
      </c>
      <c r="AF62" s="60">
        <f t="shared" si="5"/>
        <v>0</v>
      </c>
      <c r="AG62" s="60">
        <f t="shared" si="5"/>
        <v>0</v>
      </c>
      <c r="AH62" s="2"/>
      <c r="AI62" s="2"/>
    </row>
    <row r="63" spans="1:36" x14ac:dyDescent="0.25">
      <c r="A63" s="2"/>
      <c r="B63" s="2"/>
      <c r="C63" s="2">
        <v>2</v>
      </c>
      <c r="D63" s="60">
        <f t="shared" si="3"/>
        <v>0</v>
      </c>
      <c r="E63" s="60">
        <f t="shared" si="3"/>
        <v>0</v>
      </c>
      <c r="F63" s="60">
        <f t="shared" si="3"/>
        <v>0</v>
      </c>
      <c r="G63" s="60">
        <f t="shared" si="3"/>
        <v>0</v>
      </c>
      <c r="H63" s="60">
        <f t="shared" si="3"/>
        <v>0</v>
      </c>
      <c r="I63" s="60">
        <f t="shared" si="3"/>
        <v>0</v>
      </c>
      <c r="J63" s="60">
        <f t="shared" si="3"/>
        <v>0</v>
      </c>
      <c r="K63" s="60">
        <f t="shared" si="3"/>
        <v>0</v>
      </c>
      <c r="L63" s="60">
        <f t="shared" si="3"/>
        <v>0</v>
      </c>
      <c r="M63" s="60">
        <f t="shared" si="3"/>
        <v>0</v>
      </c>
      <c r="N63" s="60">
        <f t="shared" si="4"/>
        <v>0</v>
      </c>
      <c r="O63" s="60">
        <f t="shared" si="4"/>
        <v>0</v>
      </c>
      <c r="P63" s="60">
        <f t="shared" si="4"/>
        <v>0</v>
      </c>
      <c r="Q63" s="60">
        <f t="shared" si="4"/>
        <v>0</v>
      </c>
      <c r="R63" s="60">
        <f t="shared" si="4"/>
        <v>0</v>
      </c>
      <c r="S63" s="60">
        <f t="shared" si="4"/>
        <v>0</v>
      </c>
      <c r="T63" s="60">
        <f t="shared" si="4"/>
        <v>0</v>
      </c>
      <c r="U63" s="60">
        <f t="shared" si="4"/>
        <v>0</v>
      </c>
      <c r="V63" s="60">
        <f t="shared" si="4"/>
        <v>0</v>
      </c>
      <c r="W63" s="60">
        <f t="shared" si="4"/>
        <v>0</v>
      </c>
      <c r="X63" s="60">
        <f t="shared" si="5"/>
        <v>0</v>
      </c>
      <c r="Y63" s="60">
        <f t="shared" si="5"/>
        <v>0</v>
      </c>
      <c r="Z63" s="60">
        <f t="shared" si="5"/>
        <v>0</v>
      </c>
      <c r="AA63" s="60">
        <f t="shared" si="5"/>
        <v>0</v>
      </c>
      <c r="AB63" s="60">
        <f t="shared" si="5"/>
        <v>0</v>
      </c>
      <c r="AC63" s="60">
        <f t="shared" si="5"/>
        <v>0</v>
      </c>
      <c r="AD63" s="60">
        <f t="shared" si="5"/>
        <v>0</v>
      </c>
      <c r="AE63" s="60">
        <f t="shared" si="5"/>
        <v>0</v>
      </c>
      <c r="AF63" s="60">
        <f t="shared" si="5"/>
        <v>0</v>
      </c>
      <c r="AG63" s="60">
        <f t="shared" si="5"/>
        <v>0</v>
      </c>
      <c r="AH63" s="2"/>
      <c r="AI63" s="2"/>
    </row>
    <row r="64" spans="1:36" x14ac:dyDescent="0.25">
      <c r="A64" s="2"/>
      <c r="B64" s="2"/>
      <c r="C64" s="2">
        <v>3</v>
      </c>
      <c r="D64" s="60">
        <f t="shared" si="3"/>
        <v>0</v>
      </c>
      <c r="E64" s="60">
        <f t="shared" si="3"/>
        <v>0</v>
      </c>
      <c r="F64" s="60">
        <f t="shared" si="3"/>
        <v>0</v>
      </c>
      <c r="G64" s="60">
        <f t="shared" si="3"/>
        <v>0</v>
      </c>
      <c r="H64" s="60">
        <f t="shared" si="3"/>
        <v>0</v>
      </c>
      <c r="I64" s="60">
        <f t="shared" si="3"/>
        <v>0</v>
      </c>
      <c r="J64" s="60">
        <f t="shared" si="3"/>
        <v>0</v>
      </c>
      <c r="K64" s="60">
        <f t="shared" si="3"/>
        <v>0</v>
      </c>
      <c r="L64" s="60">
        <f t="shared" si="3"/>
        <v>0</v>
      </c>
      <c r="M64" s="60">
        <f t="shared" si="3"/>
        <v>0</v>
      </c>
      <c r="N64" s="60">
        <f t="shared" si="4"/>
        <v>0</v>
      </c>
      <c r="O64" s="60">
        <f t="shared" si="4"/>
        <v>0</v>
      </c>
      <c r="P64" s="60">
        <f t="shared" si="4"/>
        <v>0</v>
      </c>
      <c r="Q64" s="60">
        <f t="shared" si="4"/>
        <v>0</v>
      </c>
      <c r="R64" s="60">
        <f t="shared" si="4"/>
        <v>0</v>
      </c>
      <c r="S64" s="60">
        <f t="shared" si="4"/>
        <v>0</v>
      </c>
      <c r="T64" s="60">
        <f t="shared" si="4"/>
        <v>0</v>
      </c>
      <c r="U64" s="60">
        <f t="shared" si="4"/>
        <v>0</v>
      </c>
      <c r="V64" s="60">
        <f t="shared" si="4"/>
        <v>0</v>
      </c>
      <c r="W64" s="60">
        <f t="shared" si="4"/>
        <v>0</v>
      </c>
      <c r="X64" s="60">
        <f t="shared" si="5"/>
        <v>0</v>
      </c>
      <c r="Y64" s="60">
        <f t="shared" si="5"/>
        <v>0</v>
      </c>
      <c r="Z64" s="60">
        <f t="shared" si="5"/>
        <v>0</v>
      </c>
      <c r="AA64" s="60">
        <f t="shared" si="5"/>
        <v>0</v>
      </c>
      <c r="AB64" s="60">
        <f t="shared" si="5"/>
        <v>0</v>
      </c>
      <c r="AC64" s="60">
        <f t="shared" si="5"/>
        <v>0</v>
      </c>
      <c r="AD64" s="60">
        <f t="shared" si="5"/>
        <v>0</v>
      </c>
      <c r="AE64" s="60">
        <f t="shared" si="5"/>
        <v>0</v>
      </c>
      <c r="AF64" s="60">
        <f t="shared" si="5"/>
        <v>0</v>
      </c>
      <c r="AG64" s="60">
        <f t="shared" si="5"/>
        <v>0</v>
      </c>
      <c r="AH64" s="2"/>
      <c r="AI64" s="2"/>
    </row>
    <row r="65" spans="1:35" x14ac:dyDescent="0.25">
      <c r="A65" s="2"/>
      <c r="B65" s="2"/>
      <c r="C65" s="2">
        <v>4</v>
      </c>
      <c r="D65" s="60">
        <f t="shared" si="3"/>
        <v>0</v>
      </c>
      <c r="E65" s="60">
        <f t="shared" si="3"/>
        <v>0</v>
      </c>
      <c r="F65" s="60">
        <f t="shared" si="3"/>
        <v>0</v>
      </c>
      <c r="G65" s="60">
        <f t="shared" si="3"/>
        <v>0</v>
      </c>
      <c r="H65" s="60">
        <f t="shared" si="3"/>
        <v>0</v>
      </c>
      <c r="I65" s="60">
        <f t="shared" si="3"/>
        <v>0</v>
      </c>
      <c r="J65" s="60">
        <f t="shared" si="3"/>
        <v>0</v>
      </c>
      <c r="K65" s="60">
        <f t="shared" si="3"/>
        <v>0</v>
      </c>
      <c r="L65" s="60">
        <f t="shared" si="3"/>
        <v>0</v>
      </c>
      <c r="M65" s="60">
        <f t="shared" si="3"/>
        <v>0</v>
      </c>
      <c r="N65" s="60">
        <f t="shared" si="4"/>
        <v>0</v>
      </c>
      <c r="O65" s="60">
        <f t="shared" si="4"/>
        <v>0</v>
      </c>
      <c r="P65" s="60">
        <f t="shared" si="4"/>
        <v>0</v>
      </c>
      <c r="Q65" s="60">
        <f t="shared" si="4"/>
        <v>0</v>
      </c>
      <c r="R65" s="60">
        <f t="shared" si="4"/>
        <v>0</v>
      </c>
      <c r="S65" s="60">
        <f t="shared" si="4"/>
        <v>0</v>
      </c>
      <c r="T65" s="60">
        <f t="shared" si="4"/>
        <v>0</v>
      </c>
      <c r="U65" s="60">
        <f t="shared" si="4"/>
        <v>0</v>
      </c>
      <c r="V65" s="60">
        <f t="shared" si="4"/>
        <v>0</v>
      </c>
      <c r="W65" s="60">
        <f t="shared" si="4"/>
        <v>0</v>
      </c>
      <c r="X65" s="60">
        <f t="shared" si="5"/>
        <v>0</v>
      </c>
      <c r="Y65" s="60">
        <f t="shared" si="5"/>
        <v>0</v>
      </c>
      <c r="Z65" s="60">
        <f t="shared" si="5"/>
        <v>0</v>
      </c>
      <c r="AA65" s="60">
        <f t="shared" si="5"/>
        <v>0</v>
      </c>
      <c r="AB65" s="60">
        <f t="shared" si="5"/>
        <v>0</v>
      </c>
      <c r="AC65" s="60">
        <f t="shared" si="5"/>
        <v>0</v>
      </c>
      <c r="AD65" s="60">
        <f t="shared" si="5"/>
        <v>0</v>
      </c>
      <c r="AE65" s="60">
        <f t="shared" si="5"/>
        <v>0</v>
      </c>
      <c r="AF65" s="60">
        <f t="shared" si="5"/>
        <v>0</v>
      </c>
      <c r="AG65" s="60">
        <f t="shared" si="5"/>
        <v>0</v>
      </c>
      <c r="AH65" s="2"/>
      <c r="AI65" s="2"/>
    </row>
    <row r="66" spans="1:35" x14ac:dyDescent="0.25">
      <c r="A66" s="2"/>
      <c r="B66" s="2"/>
      <c r="C66" s="2">
        <v>5</v>
      </c>
      <c r="D66" s="60">
        <f t="shared" si="3"/>
        <v>0</v>
      </c>
      <c r="E66" s="60">
        <f t="shared" si="3"/>
        <v>0</v>
      </c>
      <c r="F66" s="60">
        <f t="shared" si="3"/>
        <v>0</v>
      </c>
      <c r="G66" s="60">
        <f t="shared" si="3"/>
        <v>0</v>
      </c>
      <c r="H66" s="60">
        <f t="shared" si="3"/>
        <v>0</v>
      </c>
      <c r="I66" s="60">
        <f t="shared" si="3"/>
        <v>0</v>
      </c>
      <c r="J66" s="60">
        <f t="shared" si="3"/>
        <v>0</v>
      </c>
      <c r="K66" s="60">
        <f t="shared" si="3"/>
        <v>0</v>
      </c>
      <c r="L66" s="60">
        <f t="shared" si="3"/>
        <v>0</v>
      </c>
      <c r="M66" s="60">
        <f t="shared" si="3"/>
        <v>0</v>
      </c>
      <c r="N66" s="60">
        <f t="shared" si="4"/>
        <v>0</v>
      </c>
      <c r="O66" s="60">
        <f t="shared" si="4"/>
        <v>0</v>
      </c>
      <c r="P66" s="60">
        <f t="shared" si="4"/>
        <v>0</v>
      </c>
      <c r="Q66" s="60">
        <f t="shared" si="4"/>
        <v>0</v>
      </c>
      <c r="R66" s="60">
        <f t="shared" si="4"/>
        <v>0</v>
      </c>
      <c r="S66" s="60">
        <f t="shared" si="4"/>
        <v>0</v>
      </c>
      <c r="T66" s="60">
        <f t="shared" si="4"/>
        <v>0</v>
      </c>
      <c r="U66" s="60">
        <f t="shared" si="4"/>
        <v>0</v>
      </c>
      <c r="V66" s="60">
        <f t="shared" si="4"/>
        <v>0</v>
      </c>
      <c r="W66" s="60">
        <f t="shared" si="4"/>
        <v>0</v>
      </c>
      <c r="X66" s="60">
        <f t="shared" si="5"/>
        <v>0</v>
      </c>
      <c r="Y66" s="60">
        <f t="shared" si="5"/>
        <v>0</v>
      </c>
      <c r="Z66" s="60">
        <f t="shared" si="5"/>
        <v>0</v>
      </c>
      <c r="AA66" s="60">
        <f t="shared" si="5"/>
        <v>0</v>
      </c>
      <c r="AB66" s="60">
        <f t="shared" si="5"/>
        <v>0</v>
      </c>
      <c r="AC66" s="60">
        <f t="shared" si="5"/>
        <v>0</v>
      </c>
      <c r="AD66" s="60">
        <f t="shared" si="5"/>
        <v>0</v>
      </c>
      <c r="AE66" s="60">
        <f t="shared" si="5"/>
        <v>0</v>
      </c>
      <c r="AF66" s="60">
        <f t="shared" si="5"/>
        <v>0</v>
      </c>
      <c r="AG66" s="60">
        <f t="shared" si="5"/>
        <v>0</v>
      </c>
      <c r="AH66" s="2"/>
      <c r="AI66" s="2"/>
    </row>
    <row r="67" spans="1:35" x14ac:dyDescent="0.25">
      <c r="A67" s="2"/>
      <c r="B67" s="2"/>
      <c r="C67" s="2">
        <v>6</v>
      </c>
      <c r="D67" s="60">
        <f t="shared" si="3"/>
        <v>0</v>
      </c>
      <c r="E67" s="60">
        <f t="shared" si="3"/>
        <v>0</v>
      </c>
      <c r="F67" s="60">
        <f t="shared" si="3"/>
        <v>0</v>
      </c>
      <c r="G67" s="60">
        <f t="shared" si="3"/>
        <v>0</v>
      </c>
      <c r="H67" s="60">
        <f t="shared" si="3"/>
        <v>0</v>
      </c>
      <c r="I67" s="60">
        <f t="shared" si="3"/>
        <v>0</v>
      </c>
      <c r="J67" s="60">
        <f t="shared" si="3"/>
        <v>0</v>
      </c>
      <c r="K67" s="60">
        <f t="shared" si="3"/>
        <v>0</v>
      </c>
      <c r="L67" s="60">
        <f t="shared" si="3"/>
        <v>0</v>
      </c>
      <c r="M67" s="60">
        <f t="shared" si="3"/>
        <v>0</v>
      </c>
      <c r="N67" s="60">
        <f t="shared" si="4"/>
        <v>0</v>
      </c>
      <c r="O67" s="60">
        <f t="shared" si="4"/>
        <v>0</v>
      </c>
      <c r="P67" s="60">
        <f t="shared" si="4"/>
        <v>0</v>
      </c>
      <c r="Q67" s="60">
        <f t="shared" si="4"/>
        <v>0</v>
      </c>
      <c r="R67" s="60">
        <f t="shared" si="4"/>
        <v>0</v>
      </c>
      <c r="S67" s="60">
        <f t="shared" si="4"/>
        <v>0</v>
      </c>
      <c r="T67" s="60">
        <f t="shared" si="4"/>
        <v>0</v>
      </c>
      <c r="U67" s="60">
        <f t="shared" si="4"/>
        <v>0</v>
      </c>
      <c r="V67" s="60">
        <f t="shared" si="4"/>
        <v>0</v>
      </c>
      <c r="W67" s="60">
        <f t="shared" si="4"/>
        <v>0</v>
      </c>
      <c r="X67" s="60">
        <f t="shared" si="5"/>
        <v>0</v>
      </c>
      <c r="Y67" s="60">
        <f t="shared" si="5"/>
        <v>0</v>
      </c>
      <c r="Z67" s="60">
        <f t="shared" si="5"/>
        <v>0</v>
      </c>
      <c r="AA67" s="60">
        <f t="shared" si="5"/>
        <v>0</v>
      </c>
      <c r="AB67" s="60">
        <f t="shared" si="5"/>
        <v>0</v>
      </c>
      <c r="AC67" s="60">
        <f t="shared" si="5"/>
        <v>0</v>
      </c>
      <c r="AD67" s="60">
        <f t="shared" si="5"/>
        <v>0</v>
      </c>
      <c r="AE67" s="60">
        <f t="shared" si="5"/>
        <v>0</v>
      </c>
      <c r="AF67" s="60">
        <f t="shared" si="5"/>
        <v>0</v>
      </c>
      <c r="AG67" s="60">
        <f t="shared" si="5"/>
        <v>0</v>
      </c>
      <c r="AH67" s="2"/>
      <c r="AI67" s="2"/>
    </row>
    <row r="68" spans="1:35" x14ac:dyDescent="0.25">
      <c r="A68" s="2"/>
      <c r="B68" s="2"/>
      <c r="C68" s="2">
        <v>7</v>
      </c>
      <c r="D68" s="60">
        <f t="shared" si="3"/>
        <v>0</v>
      </c>
      <c r="E68" s="60">
        <f t="shared" si="3"/>
        <v>0</v>
      </c>
      <c r="F68" s="60">
        <f t="shared" si="3"/>
        <v>0</v>
      </c>
      <c r="G68" s="60">
        <f t="shared" si="3"/>
        <v>0</v>
      </c>
      <c r="H68" s="60">
        <f t="shared" si="3"/>
        <v>0</v>
      </c>
      <c r="I68" s="60">
        <f t="shared" si="3"/>
        <v>0</v>
      </c>
      <c r="J68" s="60">
        <f t="shared" si="3"/>
        <v>0</v>
      </c>
      <c r="K68" s="60">
        <f t="shared" si="3"/>
        <v>0</v>
      </c>
      <c r="L68" s="60">
        <f t="shared" si="3"/>
        <v>0</v>
      </c>
      <c r="M68" s="60">
        <f t="shared" si="3"/>
        <v>0</v>
      </c>
      <c r="N68" s="60">
        <f t="shared" si="4"/>
        <v>0</v>
      </c>
      <c r="O68" s="60">
        <f t="shared" si="4"/>
        <v>0</v>
      </c>
      <c r="P68" s="60">
        <f t="shared" si="4"/>
        <v>0</v>
      </c>
      <c r="Q68" s="60">
        <f t="shared" si="4"/>
        <v>0</v>
      </c>
      <c r="R68" s="60">
        <f t="shared" si="4"/>
        <v>0</v>
      </c>
      <c r="S68" s="60">
        <f t="shared" si="4"/>
        <v>0</v>
      </c>
      <c r="T68" s="60">
        <f t="shared" si="4"/>
        <v>0</v>
      </c>
      <c r="U68" s="60">
        <f t="shared" si="4"/>
        <v>0</v>
      </c>
      <c r="V68" s="60">
        <f t="shared" si="4"/>
        <v>0</v>
      </c>
      <c r="W68" s="60">
        <f t="shared" si="4"/>
        <v>0</v>
      </c>
      <c r="X68" s="60">
        <f t="shared" si="5"/>
        <v>0</v>
      </c>
      <c r="Y68" s="60">
        <f t="shared" si="5"/>
        <v>0</v>
      </c>
      <c r="Z68" s="60">
        <f t="shared" si="5"/>
        <v>0</v>
      </c>
      <c r="AA68" s="60">
        <f t="shared" si="5"/>
        <v>0</v>
      </c>
      <c r="AB68" s="60">
        <f t="shared" si="5"/>
        <v>0</v>
      </c>
      <c r="AC68" s="60">
        <f t="shared" si="5"/>
        <v>0</v>
      </c>
      <c r="AD68" s="60">
        <f t="shared" si="5"/>
        <v>0</v>
      </c>
      <c r="AE68" s="60">
        <f t="shared" si="5"/>
        <v>0</v>
      </c>
      <c r="AF68" s="60">
        <f t="shared" si="5"/>
        <v>0</v>
      </c>
      <c r="AG68" s="60">
        <f t="shared" si="5"/>
        <v>0</v>
      </c>
      <c r="AH68" s="2"/>
      <c r="AI68" s="2"/>
    </row>
    <row r="69" spans="1:35" x14ac:dyDescent="0.25">
      <c r="A69" s="2"/>
      <c r="B69" s="2"/>
      <c r="C69" s="2">
        <v>8</v>
      </c>
      <c r="D69" s="60">
        <f t="shared" si="3"/>
        <v>0</v>
      </c>
      <c r="E69" s="60">
        <f t="shared" si="3"/>
        <v>0</v>
      </c>
      <c r="F69" s="60">
        <f t="shared" si="3"/>
        <v>0</v>
      </c>
      <c r="G69" s="60">
        <f t="shared" si="3"/>
        <v>0</v>
      </c>
      <c r="H69" s="60">
        <f t="shared" si="3"/>
        <v>0</v>
      </c>
      <c r="I69" s="60">
        <f t="shared" si="3"/>
        <v>0</v>
      </c>
      <c r="J69" s="60">
        <f t="shared" si="3"/>
        <v>0</v>
      </c>
      <c r="K69" s="60">
        <f t="shared" si="3"/>
        <v>0</v>
      </c>
      <c r="L69" s="60">
        <f t="shared" si="3"/>
        <v>0</v>
      </c>
      <c r="M69" s="60">
        <f t="shared" si="3"/>
        <v>0</v>
      </c>
      <c r="N69" s="60">
        <f t="shared" si="4"/>
        <v>0</v>
      </c>
      <c r="O69" s="60">
        <f t="shared" si="4"/>
        <v>0</v>
      </c>
      <c r="P69" s="60">
        <f t="shared" si="4"/>
        <v>0</v>
      </c>
      <c r="Q69" s="60">
        <f t="shared" si="4"/>
        <v>0</v>
      </c>
      <c r="R69" s="60">
        <f t="shared" si="4"/>
        <v>0</v>
      </c>
      <c r="S69" s="60">
        <f t="shared" si="4"/>
        <v>0</v>
      </c>
      <c r="T69" s="60">
        <f t="shared" si="4"/>
        <v>0</v>
      </c>
      <c r="U69" s="60">
        <f t="shared" si="4"/>
        <v>0</v>
      </c>
      <c r="V69" s="60">
        <f t="shared" si="4"/>
        <v>0</v>
      </c>
      <c r="W69" s="60">
        <f t="shared" si="4"/>
        <v>0</v>
      </c>
      <c r="X69" s="60">
        <f t="shared" si="5"/>
        <v>0</v>
      </c>
      <c r="Y69" s="60">
        <f t="shared" si="5"/>
        <v>0</v>
      </c>
      <c r="Z69" s="60">
        <f t="shared" si="5"/>
        <v>0</v>
      </c>
      <c r="AA69" s="60">
        <f t="shared" si="5"/>
        <v>0</v>
      </c>
      <c r="AB69" s="60">
        <f t="shared" si="5"/>
        <v>0</v>
      </c>
      <c r="AC69" s="60">
        <f t="shared" si="5"/>
        <v>0</v>
      </c>
      <c r="AD69" s="60">
        <f t="shared" si="5"/>
        <v>0</v>
      </c>
      <c r="AE69" s="60">
        <f t="shared" si="5"/>
        <v>0</v>
      </c>
      <c r="AF69" s="60">
        <f t="shared" si="5"/>
        <v>0</v>
      </c>
      <c r="AG69" s="60">
        <f t="shared" si="5"/>
        <v>0</v>
      </c>
      <c r="AH69" s="2"/>
      <c r="AI69" s="2"/>
    </row>
    <row r="70" spans="1:35" x14ac:dyDescent="0.25">
      <c r="A70" s="2"/>
      <c r="B70" s="2"/>
      <c r="C70" s="2">
        <v>9</v>
      </c>
      <c r="D70" s="60">
        <f t="shared" si="3"/>
        <v>0</v>
      </c>
      <c r="E70" s="60">
        <f t="shared" si="3"/>
        <v>0</v>
      </c>
      <c r="F70" s="60">
        <f t="shared" si="3"/>
        <v>0</v>
      </c>
      <c r="G70" s="60">
        <f t="shared" si="3"/>
        <v>0</v>
      </c>
      <c r="H70" s="60">
        <f t="shared" si="3"/>
        <v>0</v>
      </c>
      <c r="I70" s="60">
        <f t="shared" si="3"/>
        <v>0</v>
      </c>
      <c r="J70" s="60">
        <f t="shared" si="3"/>
        <v>0</v>
      </c>
      <c r="K70" s="60">
        <f t="shared" si="3"/>
        <v>0</v>
      </c>
      <c r="L70" s="60">
        <f t="shared" si="3"/>
        <v>0</v>
      </c>
      <c r="M70" s="60">
        <f t="shared" si="3"/>
        <v>0</v>
      </c>
      <c r="N70" s="60">
        <f t="shared" si="4"/>
        <v>0</v>
      </c>
      <c r="O70" s="60">
        <f t="shared" si="4"/>
        <v>0</v>
      </c>
      <c r="P70" s="60">
        <f t="shared" si="4"/>
        <v>0</v>
      </c>
      <c r="Q70" s="60">
        <f t="shared" si="4"/>
        <v>0</v>
      </c>
      <c r="R70" s="60">
        <f t="shared" si="4"/>
        <v>0</v>
      </c>
      <c r="S70" s="60">
        <f t="shared" si="4"/>
        <v>0</v>
      </c>
      <c r="T70" s="60">
        <f t="shared" si="4"/>
        <v>0</v>
      </c>
      <c r="U70" s="60">
        <f t="shared" si="4"/>
        <v>0</v>
      </c>
      <c r="V70" s="60">
        <f t="shared" si="4"/>
        <v>0</v>
      </c>
      <c r="W70" s="60">
        <f t="shared" si="4"/>
        <v>0</v>
      </c>
      <c r="X70" s="60">
        <f t="shared" si="5"/>
        <v>0</v>
      </c>
      <c r="Y70" s="60">
        <f t="shared" si="5"/>
        <v>0</v>
      </c>
      <c r="Z70" s="60">
        <f t="shared" si="5"/>
        <v>0</v>
      </c>
      <c r="AA70" s="60">
        <f t="shared" si="5"/>
        <v>0</v>
      </c>
      <c r="AB70" s="60">
        <f t="shared" si="5"/>
        <v>0</v>
      </c>
      <c r="AC70" s="60">
        <f t="shared" si="5"/>
        <v>0</v>
      </c>
      <c r="AD70" s="60">
        <f t="shared" si="5"/>
        <v>0</v>
      </c>
      <c r="AE70" s="60">
        <f t="shared" si="5"/>
        <v>0</v>
      </c>
      <c r="AF70" s="60">
        <f t="shared" si="5"/>
        <v>0</v>
      </c>
      <c r="AG70" s="60">
        <f t="shared" si="5"/>
        <v>0</v>
      </c>
      <c r="AH70" s="2"/>
      <c r="AI70" s="2"/>
    </row>
    <row r="71" spans="1:35" x14ac:dyDescent="0.25">
      <c r="A71" s="2"/>
      <c r="B71" s="2"/>
      <c r="C71" s="2">
        <v>10</v>
      </c>
      <c r="D71" s="60">
        <f t="shared" si="3"/>
        <v>0</v>
      </c>
      <c r="E71" s="60">
        <f t="shared" si="3"/>
        <v>0</v>
      </c>
      <c r="F71" s="60">
        <f t="shared" si="3"/>
        <v>0</v>
      </c>
      <c r="G71" s="60">
        <f t="shared" si="3"/>
        <v>0</v>
      </c>
      <c r="H71" s="60">
        <f t="shared" si="3"/>
        <v>0</v>
      </c>
      <c r="I71" s="60">
        <f t="shared" si="3"/>
        <v>0</v>
      </c>
      <c r="J71" s="60">
        <f t="shared" si="3"/>
        <v>0</v>
      </c>
      <c r="K71" s="60">
        <f t="shared" si="3"/>
        <v>0</v>
      </c>
      <c r="L71" s="60">
        <f t="shared" si="3"/>
        <v>0</v>
      </c>
      <c r="M71" s="60">
        <f t="shared" si="3"/>
        <v>0</v>
      </c>
      <c r="N71" s="60">
        <f t="shared" si="4"/>
        <v>0</v>
      </c>
      <c r="O71" s="60">
        <f t="shared" si="4"/>
        <v>0</v>
      </c>
      <c r="P71" s="60">
        <f t="shared" si="4"/>
        <v>0</v>
      </c>
      <c r="Q71" s="60">
        <f t="shared" si="4"/>
        <v>0</v>
      </c>
      <c r="R71" s="60">
        <f t="shared" si="4"/>
        <v>0</v>
      </c>
      <c r="S71" s="60">
        <f t="shared" si="4"/>
        <v>0</v>
      </c>
      <c r="T71" s="60">
        <f t="shared" si="4"/>
        <v>0</v>
      </c>
      <c r="U71" s="60">
        <f t="shared" si="4"/>
        <v>0</v>
      </c>
      <c r="V71" s="60">
        <f t="shared" si="4"/>
        <v>0</v>
      </c>
      <c r="W71" s="60">
        <f t="shared" si="4"/>
        <v>0</v>
      </c>
      <c r="X71" s="60">
        <f t="shared" si="5"/>
        <v>0</v>
      </c>
      <c r="Y71" s="60">
        <f t="shared" si="5"/>
        <v>0</v>
      </c>
      <c r="Z71" s="60">
        <f t="shared" si="5"/>
        <v>0</v>
      </c>
      <c r="AA71" s="60">
        <f t="shared" si="5"/>
        <v>0</v>
      </c>
      <c r="AB71" s="60">
        <f t="shared" si="5"/>
        <v>0</v>
      </c>
      <c r="AC71" s="60">
        <f t="shared" si="5"/>
        <v>0</v>
      </c>
      <c r="AD71" s="60">
        <f t="shared" si="5"/>
        <v>0</v>
      </c>
      <c r="AE71" s="60">
        <f t="shared" si="5"/>
        <v>0</v>
      </c>
      <c r="AF71" s="60">
        <f t="shared" si="5"/>
        <v>0</v>
      </c>
      <c r="AG71" s="60">
        <f t="shared" si="5"/>
        <v>0</v>
      </c>
      <c r="AH71" s="2"/>
      <c r="AI71" s="2"/>
    </row>
    <row r="72" spans="1:35" x14ac:dyDescent="0.25">
      <c r="A72" s="2"/>
      <c r="B72" s="2"/>
      <c r="C72" s="2">
        <v>11</v>
      </c>
      <c r="D72" s="60">
        <f t="shared" ref="D72:M79" si="6">--AND($C72=Dashboard.CurrentRow,D$61=Dashboard.CurrentColumn)</f>
        <v>0</v>
      </c>
      <c r="E72" s="60">
        <f t="shared" si="6"/>
        <v>0</v>
      </c>
      <c r="F72" s="60">
        <f t="shared" si="6"/>
        <v>0</v>
      </c>
      <c r="G72" s="60">
        <f t="shared" si="6"/>
        <v>0</v>
      </c>
      <c r="H72" s="60">
        <f t="shared" si="6"/>
        <v>0</v>
      </c>
      <c r="I72" s="60">
        <f t="shared" si="6"/>
        <v>0</v>
      </c>
      <c r="J72" s="60">
        <f t="shared" si="6"/>
        <v>0</v>
      </c>
      <c r="K72" s="60">
        <f t="shared" si="6"/>
        <v>0</v>
      </c>
      <c r="L72" s="60">
        <f t="shared" si="6"/>
        <v>0</v>
      </c>
      <c r="M72" s="60">
        <f t="shared" si="6"/>
        <v>0</v>
      </c>
      <c r="N72" s="60">
        <f t="shared" ref="N72:W79" si="7">--AND($C72=Dashboard.CurrentRow,N$61=Dashboard.CurrentColumn)</f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ref="X72:AG79" si="8">--AND($C72=Dashboard.CurrentRow,X$61=Dashboard.CurrentColumn)</f>
        <v>0</v>
      </c>
      <c r="Y72" s="60">
        <f t="shared" si="8"/>
        <v>0</v>
      </c>
      <c r="Z72" s="60">
        <f t="shared" si="8"/>
        <v>0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0">
        <f t="shared" si="8"/>
        <v>0</v>
      </c>
      <c r="AH72" s="2"/>
      <c r="AI72" s="2"/>
    </row>
    <row r="73" spans="1:35" x14ac:dyDescent="0.25">
      <c r="A73" s="2"/>
      <c r="B73" s="2"/>
      <c r="C73" s="2">
        <v>12</v>
      </c>
      <c r="D73" s="60">
        <f t="shared" si="6"/>
        <v>0</v>
      </c>
      <c r="E73" s="60">
        <f t="shared" si="6"/>
        <v>0</v>
      </c>
      <c r="F73" s="60">
        <f t="shared" si="6"/>
        <v>0</v>
      </c>
      <c r="G73" s="60">
        <f t="shared" si="6"/>
        <v>0</v>
      </c>
      <c r="H73" s="60">
        <f t="shared" si="6"/>
        <v>0</v>
      </c>
      <c r="I73" s="60">
        <f t="shared" si="6"/>
        <v>0</v>
      </c>
      <c r="J73" s="60">
        <f t="shared" si="6"/>
        <v>0</v>
      </c>
      <c r="K73" s="60">
        <f t="shared" si="6"/>
        <v>0</v>
      </c>
      <c r="L73" s="60">
        <f t="shared" si="6"/>
        <v>0</v>
      </c>
      <c r="M73" s="60">
        <f t="shared" si="6"/>
        <v>0</v>
      </c>
      <c r="N73" s="60">
        <f t="shared" si="7"/>
        <v>0</v>
      </c>
      <c r="O73" s="60">
        <f t="shared" si="7"/>
        <v>0</v>
      </c>
      <c r="P73" s="60">
        <f t="shared" si="7"/>
        <v>0</v>
      </c>
      <c r="Q73" s="60">
        <f t="shared" si="7"/>
        <v>0</v>
      </c>
      <c r="R73" s="60">
        <f t="shared" si="7"/>
        <v>0</v>
      </c>
      <c r="S73" s="60">
        <f t="shared" si="7"/>
        <v>0</v>
      </c>
      <c r="T73" s="60">
        <f t="shared" si="7"/>
        <v>0</v>
      </c>
      <c r="U73" s="60">
        <f t="shared" si="7"/>
        <v>0</v>
      </c>
      <c r="V73" s="60">
        <f t="shared" si="7"/>
        <v>0</v>
      </c>
      <c r="W73" s="60">
        <f t="shared" si="7"/>
        <v>0</v>
      </c>
      <c r="X73" s="60">
        <f t="shared" si="8"/>
        <v>0</v>
      </c>
      <c r="Y73" s="60">
        <f t="shared" si="8"/>
        <v>0</v>
      </c>
      <c r="Z73" s="60">
        <f t="shared" si="8"/>
        <v>0</v>
      </c>
      <c r="AA73" s="60">
        <f t="shared" si="8"/>
        <v>0</v>
      </c>
      <c r="AB73" s="60">
        <f t="shared" si="8"/>
        <v>0</v>
      </c>
      <c r="AC73" s="60">
        <f t="shared" si="8"/>
        <v>0</v>
      </c>
      <c r="AD73" s="60">
        <f t="shared" si="8"/>
        <v>0</v>
      </c>
      <c r="AE73" s="60">
        <f t="shared" si="8"/>
        <v>0</v>
      </c>
      <c r="AF73" s="60">
        <f t="shared" si="8"/>
        <v>0</v>
      </c>
      <c r="AG73" s="60">
        <f t="shared" si="8"/>
        <v>0</v>
      </c>
      <c r="AH73" s="2"/>
      <c r="AI73" s="2"/>
    </row>
    <row r="74" spans="1:35" x14ac:dyDescent="0.25">
      <c r="A74" s="2"/>
      <c r="B74" s="2"/>
      <c r="C74" s="2">
        <v>13</v>
      </c>
      <c r="D74" s="60">
        <f t="shared" si="6"/>
        <v>0</v>
      </c>
      <c r="E74" s="60">
        <f t="shared" si="6"/>
        <v>0</v>
      </c>
      <c r="F74" s="60">
        <f t="shared" si="6"/>
        <v>0</v>
      </c>
      <c r="G74" s="60">
        <f t="shared" si="6"/>
        <v>0</v>
      </c>
      <c r="H74" s="60">
        <f t="shared" si="6"/>
        <v>0</v>
      </c>
      <c r="I74" s="60">
        <f t="shared" si="6"/>
        <v>0</v>
      </c>
      <c r="J74" s="60">
        <f t="shared" si="6"/>
        <v>0</v>
      </c>
      <c r="K74" s="60">
        <f t="shared" si="6"/>
        <v>0</v>
      </c>
      <c r="L74" s="60">
        <f t="shared" si="6"/>
        <v>0</v>
      </c>
      <c r="M74" s="60">
        <f t="shared" si="6"/>
        <v>0</v>
      </c>
      <c r="N74" s="60">
        <f t="shared" si="7"/>
        <v>0</v>
      </c>
      <c r="O74" s="60">
        <f t="shared" si="7"/>
        <v>0</v>
      </c>
      <c r="P74" s="60">
        <f t="shared" si="7"/>
        <v>0</v>
      </c>
      <c r="Q74" s="60">
        <f t="shared" si="7"/>
        <v>0</v>
      </c>
      <c r="R74" s="60">
        <f t="shared" si="7"/>
        <v>0</v>
      </c>
      <c r="S74" s="60">
        <f t="shared" si="7"/>
        <v>0</v>
      </c>
      <c r="T74" s="60">
        <f t="shared" si="7"/>
        <v>0</v>
      </c>
      <c r="U74" s="60">
        <f t="shared" si="7"/>
        <v>0</v>
      </c>
      <c r="V74" s="60">
        <f t="shared" si="7"/>
        <v>0</v>
      </c>
      <c r="W74" s="60">
        <f t="shared" si="7"/>
        <v>0</v>
      </c>
      <c r="X74" s="60">
        <f t="shared" si="8"/>
        <v>0</v>
      </c>
      <c r="Y74" s="60">
        <f t="shared" si="8"/>
        <v>0</v>
      </c>
      <c r="Z74" s="60">
        <f t="shared" si="8"/>
        <v>0</v>
      </c>
      <c r="AA74" s="60">
        <f t="shared" si="8"/>
        <v>0</v>
      </c>
      <c r="AB74" s="60">
        <f t="shared" si="8"/>
        <v>0</v>
      </c>
      <c r="AC74" s="60">
        <f t="shared" si="8"/>
        <v>0</v>
      </c>
      <c r="AD74" s="60">
        <f t="shared" si="8"/>
        <v>0</v>
      </c>
      <c r="AE74" s="60">
        <f t="shared" si="8"/>
        <v>0</v>
      </c>
      <c r="AF74" s="60">
        <f t="shared" si="8"/>
        <v>0</v>
      </c>
      <c r="AG74" s="60">
        <f t="shared" si="8"/>
        <v>0</v>
      </c>
      <c r="AH74" s="2"/>
      <c r="AI74" s="2"/>
    </row>
    <row r="75" spans="1:35" x14ac:dyDescent="0.25">
      <c r="A75" s="2"/>
      <c r="B75" s="2"/>
      <c r="C75" s="2">
        <v>14</v>
      </c>
      <c r="D75" s="60">
        <f t="shared" si="6"/>
        <v>0</v>
      </c>
      <c r="E75" s="60">
        <f t="shared" si="6"/>
        <v>0</v>
      </c>
      <c r="F75" s="60">
        <f t="shared" si="6"/>
        <v>0</v>
      </c>
      <c r="G75" s="60">
        <f t="shared" si="6"/>
        <v>0</v>
      </c>
      <c r="H75" s="60">
        <f t="shared" si="6"/>
        <v>0</v>
      </c>
      <c r="I75" s="60">
        <f t="shared" si="6"/>
        <v>0</v>
      </c>
      <c r="J75" s="60">
        <f t="shared" si="6"/>
        <v>0</v>
      </c>
      <c r="K75" s="60">
        <f t="shared" si="6"/>
        <v>0</v>
      </c>
      <c r="L75" s="60">
        <f t="shared" si="6"/>
        <v>0</v>
      </c>
      <c r="M75" s="60">
        <f t="shared" si="6"/>
        <v>0</v>
      </c>
      <c r="N75" s="60">
        <f t="shared" si="7"/>
        <v>0</v>
      </c>
      <c r="O75" s="60">
        <f t="shared" si="7"/>
        <v>0</v>
      </c>
      <c r="P75" s="60">
        <f t="shared" si="7"/>
        <v>0</v>
      </c>
      <c r="Q75" s="60">
        <f t="shared" si="7"/>
        <v>0</v>
      </c>
      <c r="R75" s="60">
        <f t="shared" si="7"/>
        <v>0</v>
      </c>
      <c r="S75" s="60">
        <f t="shared" si="7"/>
        <v>0</v>
      </c>
      <c r="T75" s="60">
        <f t="shared" si="7"/>
        <v>0</v>
      </c>
      <c r="U75" s="60">
        <f t="shared" si="7"/>
        <v>0</v>
      </c>
      <c r="V75" s="60">
        <f t="shared" si="7"/>
        <v>0</v>
      </c>
      <c r="W75" s="60">
        <f t="shared" si="7"/>
        <v>0</v>
      </c>
      <c r="X75" s="60">
        <f t="shared" si="8"/>
        <v>0</v>
      </c>
      <c r="Y75" s="60">
        <f t="shared" si="8"/>
        <v>0</v>
      </c>
      <c r="Z75" s="60">
        <f t="shared" si="8"/>
        <v>0</v>
      </c>
      <c r="AA75" s="60">
        <f t="shared" si="8"/>
        <v>0</v>
      </c>
      <c r="AB75" s="60">
        <f t="shared" si="8"/>
        <v>0</v>
      </c>
      <c r="AC75" s="60">
        <f t="shared" si="8"/>
        <v>0</v>
      </c>
      <c r="AD75" s="60">
        <f t="shared" si="8"/>
        <v>0</v>
      </c>
      <c r="AE75" s="60">
        <f t="shared" si="8"/>
        <v>0</v>
      </c>
      <c r="AF75" s="60">
        <f t="shared" si="8"/>
        <v>0</v>
      </c>
      <c r="AG75" s="60">
        <f t="shared" si="8"/>
        <v>0</v>
      </c>
      <c r="AH75" s="2"/>
      <c r="AI75" s="2"/>
    </row>
    <row r="76" spans="1:35" x14ac:dyDescent="0.25">
      <c r="A76" s="2"/>
      <c r="B76" s="2"/>
      <c r="C76" s="2">
        <v>15</v>
      </c>
      <c r="D76" s="60">
        <f t="shared" si="6"/>
        <v>0</v>
      </c>
      <c r="E76" s="60">
        <f t="shared" si="6"/>
        <v>0</v>
      </c>
      <c r="F76" s="60">
        <f t="shared" si="6"/>
        <v>0</v>
      </c>
      <c r="G76" s="60">
        <f t="shared" si="6"/>
        <v>0</v>
      </c>
      <c r="H76" s="60">
        <f t="shared" si="6"/>
        <v>0</v>
      </c>
      <c r="I76" s="60">
        <f t="shared" si="6"/>
        <v>0</v>
      </c>
      <c r="J76" s="60">
        <f t="shared" si="6"/>
        <v>0</v>
      </c>
      <c r="K76" s="60">
        <f t="shared" si="6"/>
        <v>0</v>
      </c>
      <c r="L76" s="60">
        <f t="shared" si="6"/>
        <v>0</v>
      </c>
      <c r="M76" s="60">
        <f t="shared" si="6"/>
        <v>0</v>
      </c>
      <c r="N76" s="60">
        <f t="shared" si="7"/>
        <v>0</v>
      </c>
      <c r="O76" s="60">
        <f t="shared" si="7"/>
        <v>0</v>
      </c>
      <c r="P76" s="60">
        <f t="shared" si="7"/>
        <v>0</v>
      </c>
      <c r="Q76" s="60">
        <f t="shared" si="7"/>
        <v>0</v>
      </c>
      <c r="R76" s="60">
        <f t="shared" si="7"/>
        <v>0</v>
      </c>
      <c r="S76" s="60">
        <f t="shared" si="7"/>
        <v>0</v>
      </c>
      <c r="T76" s="60">
        <f t="shared" si="7"/>
        <v>0</v>
      </c>
      <c r="U76" s="60">
        <f t="shared" si="7"/>
        <v>0</v>
      </c>
      <c r="V76" s="60">
        <f t="shared" si="7"/>
        <v>0</v>
      </c>
      <c r="W76" s="60">
        <f t="shared" si="7"/>
        <v>0</v>
      </c>
      <c r="X76" s="60">
        <f t="shared" si="8"/>
        <v>0</v>
      </c>
      <c r="Y76" s="60">
        <f t="shared" si="8"/>
        <v>0</v>
      </c>
      <c r="Z76" s="60">
        <f t="shared" si="8"/>
        <v>0</v>
      </c>
      <c r="AA76" s="60">
        <f t="shared" si="8"/>
        <v>0</v>
      </c>
      <c r="AB76" s="60">
        <f t="shared" si="8"/>
        <v>0</v>
      </c>
      <c r="AC76" s="60">
        <f t="shared" si="8"/>
        <v>0</v>
      </c>
      <c r="AD76" s="60">
        <f t="shared" si="8"/>
        <v>0</v>
      </c>
      <c r="AE76" s="60">
        <f t="shared" si="8"/>
        <v>0</v>
      </c>
      <c r="AF76" s="60">
        <f t="shared" si="8"/>
        <v>0</v>
      </c>
      <c r="AG76" s="60">
        <f t="shared" si="8"/>
        <v>0</v>
      </c>
      <c r="AH76" s="2"/>
      <c r="AI76" s="2"/>
    </row>
    <row r="77" spans="1:35" x14ac:dyDescent="0.25">
      <c r="A77" s="2"/>
      <c r="B77" s="2"/>
      <c r="C77" s="2">
        <v>16</v>
      </c>
      <c r="D77" s="60">
        <f t="shared" si="6"/>
        <v>0</v>
      </c>
      <c r="E77" s="60">
        <f t="shared" si="6"/>
        <v>0</v>
      </c>
      <c r="F77" s="60">
        <f t="shared" si="6"/>
        <v>0</v>
      </c>
      <c r="G77" s="60">
        <f t="shared" si="6"/>
        <v>0</v>
      </c>
      <c r="H77" s="60">
        <f t="shared" si="6"/>
        <v>0</v>
      </c>
      <c r="I77" s="60">
        <f t="shared" si="6"/>
        <v>0</v>
      </c>
      <c r="J77" s="60">
        <f t="shared" si="6"/>
        <v>0</v>
      </c>
      <c r="K77" s="60">
        <f t="shared" si="6"/>
        <v>0</v>
      </c>
      <c r="L77" s="60">
        <f t="shared" si="6"/>
        <v>0</v>
      </c>
      <c r="M77" s="60">
        <f t="shared" si="6"/>
        <v>0</v>
      </c>
      <c r="N77" s="60">
        <f t="shared" si="7"/>
        <v>0</v>
      </c>
      <c r="O77" s="60">
        <f t="shared" si="7"/>
        <v>0</v>
      </c>
      <c r="P77" s="60">
        <f t="shared" si="7"/>
        <v>0</v>
      </c>
      <c r="Q77" s="60">
        <f t="shared" si="7"/>
        <v>0</v>
      </c>
      <c r="R77" s="60">
        <f t="shared" si="7"/>
        <v>0</v>
      </c>
      <c r="S77" s="60">
        <f t="shared" si="7"/>
        <v>0</v>
      </c>
      <c r="T77" s="60">
        <f t="shared" si="7"/>
        <v>0</v>
      </c>
      <c r="U77" s="60">
        <f t="shared" si="7"/>
        <v>0</v>
      </c>
      <c r="V77" s="60">
        <f t="shared" si="7"/>
        <v>0</v>
      </c>
      <c r="W77" s="60">
        <f t="shared" si="7"/>
        <v>0</v>
      </c>
      <c r="X77" s="60">
        <f t="shared" si="8"/>
        <v>0</v>
      </c>
      <c r="Y77" s="60">
        <f t="shared" si="8"/>
        <v>0</v>
      </c>
      <c r="Z77" s="60">
        <f t="shared" si="8"/>
        <v>0</v>
      </c>
      <c r="AA77" s="60">
        <f t="shared" si="8"/>
        <v>0</v>
      </c>
      <c r="AB77" s="60">
        <f t="shared" si="8"/>
        <v>0</v>
      </c>
      <c r="AC77" s="60">
        <f t="shared" si="8"/>
        <v>0</v>
      </c>
      <c r="AD77" s="60">
        <f t="shared" si="8"/>
        <v>0</v>
      </c>
      <c r="AE77" s="60">
        <f t="shared" si="8"/>
        <v>0</v>
      </c>
      <c r="AF77" s="60">
        <f t="shared" si="8"/>
        <v>0</v>
      </c>
      <c r="AG77" s="60">
        <f t="shared" si="8"/>
        <v>0</v>
      </c>
      <c r="AH77" s="2"/>
      <c r="AI77" s="2"/>
    </row>
    <row r="78" spans="1:35" x14ac:dyDescent="0.25">
      <c r="A78" s="2"/>
      <c r="B78" s="2"/>
      <c r="C78" s="2">
        <v>17</v>
      </c>
      <c r="D78" s="60">
        <f t="shared" si="6"/>
        <v>0</v>
      </c>
      <c r="E78" s="60">
        <f t="shared" si="6"/>
        <v>0</v>
      </c>
      <c r="F78" s="60">
        <f t="shared" si="6"/>
        <v>0</v>
      </c>
      <c r="G78" s="60">
        <f t="shared" si="6"/>
        <v>0</v>
      </c>
      <c r="H78" s="60">
        <f t="shared" si="6"/>
        <v>0</v>
      </c>
      <c r="I78" s="60">
        <f t="shared" si="6"/>
        <v>0</v>
      </c>
      <c r="J78" s="60">
        <f t="shared" si="6"/>
        <v>0</v>
      </c>
      <c r="K78" s="60">
        <f t="shared" si="6"/>
        <v>0</v>
      </c>
      <c r="L78" s="60">
        <f t="shared" si="6"/>
        <v>0</v>
      </c>
      <c r="M78" s="60">
        <f t="shared" si="6"/>
        <v>0</v>
      </c>
      <c r="N78" s="60">
        <f t="shared" si="7"/>
        <v>0</v>
      </c>
      <c r="O78" s="60">
        <f t="shared" si="7"/>
        <v>0</v>
      </c>
      <c r="P78" s="60">
        <f t="shared" si="7"/>
        <v>0</v>
      </c>
      <c r="Q78" s="60">
        <f t="shared" si="7"/>
        <v>0</v>
      </c>
      <c r="R78" s="60">
        <f t="shared" si="7"/>
        <v>0</v>
      </c>
      <c r="S78" s="60">
        <f t="shared" si="7"/>
        <v>0</v>
      </c>
      <c r="T78" s="60">
        <f t="shared" si="7"/>
        <v>0</v>
      </c>
      <c r="U78" s="60">
        <f t="shared" si="7"/>
        <v>0</v>
      </c>
      <c r="V78" s="60">
        <f t="shared" si="7"/>
        <v>0</v>
      </c>
      <c r="W78" s="60">
        <f t="shared" si="7"/>
        <v>0</v>
      </c>
      <c r="X78" s="60">
        <f t="shared" si="8"/>
        <v>0</v>
      </c>
      <c r="Y78" s="60">
        <f t="shared" si="8"/>
        <v>0</v>
      </c>
      <c r="Z78" s="60">
        <f t="shared" si="8"/>
        <v>0</v>
      </c>
      <c r="AA78" s="60">
        <f t="shared" si="8"/>
        <v>0</v>
      </c>
      <c r="AB78" s="60">
        <f t="shared" si="8"/>
        <v>0</v>
      </c>
      <c r="AC78" s="60">
        <f t="shared" si="8"/>
        <v>0</v>
      </c>
      <c r="AD78" s="60">
        <f t="shared" si="8"/>
        <v>0</v>
      </c>
      <c r="AE78" s="60">
        <f t="shared" si="8"/>
        <v>0</v>
      </c>
      <c r="AF78" s="60">
        <f t="shared" si="8"/>
        <v>0</v>
      </c>
      <c r="AG78" s="60">
        <f t="shared" si="8"/>
        <v>0</v>
      </c>
      <c r="AH78" s="2"/>
      <c r="AI78" s="2"/>
    </row>
    <row r="79" spans="1:35" x14ac:dyDescent="0.25">
      <c r="A79" s="2"/>
      <c r="B79" s="2"/>
      <c r="C79" s="2">
        <v>18</v>
      </c>
      <c r="D79" s="60">
        <f t="shared" si="6"/>
        <v>0</v>
      </c>
      <c r="E79" s="60">
        <f t="shared" si="6"/>
        <v>0</v>
      </c>
      <c r="F79" s="60">
        <f t="shared" si="6"/>
        <v>0</v>
      </c>
      <c r="G79" s="60">
        <f t="shared" si="6"/>
        <v>0</v>
      </c>
      <c r="H79" s="60">
        <f t="shared" si="6"/>
        <v>0</v>
      </c>
      <c r="I79" s="60">
        <f t="shared" si="6"/>
        <v>0</v>
      </c>
      <c r="J79" s="60">
        <f t="shared" si="6"/>
        <v>0</v>
      </c>
      <c r="K79" s="60">
        <f t="shared" si="6"/>
        <v>0</v>
      </c>
      <c r="L79" s="60">
        <f t="shared" si="6"/>
        <v>0</v>
      </c>
      <c r="M79" s="60">
        <f t="shared" si="6"/>
        <v>0</v>
      </c>
      <c r="N79" s="60">
        <f t="shared" si="7"/>
        <v>0</v>
      </c>
      <c r="O79" s="60">
        <f t="shared" si="7"/>
        <v>0</v>
      </c>
      <c r="P79" s="60">
        <f t="shared" si="7"/>
        <v>0</v>
      </c>
      <c r="Q79" s="60">
        <f t="shared" si="7"/>
        <v>0</v>
      </c>
      <c r="R79" s="60">
        <f t="shared" si="7"/>
        <v>0</v>
      </c>
      <c r="S79" s="60">
        <f t="shared" si="7"/>
        <v>0</v>
      </c>
      <c r="T79" s="60">
        <f t="shared" si="7"/>
        <v>0</v>
      </c>
      <c r="U79" s="60">
        <f t="shared" si="7"/>
        <v>0</v>
      </c>
      <c r="V79" s="60">
        <f t="shared" si="7"/>
        <v>0</v>
      </c>
      <c r="W79" s="60">
        <f t="shared" si="7"/>
        <v>0</v>
      </c>
      <c r="X79" s="60">
        <f t="shared" si="8"/>
        <v>0</v>
      </c>
      <c r="Y79" s="60">
        <f t="shared" si="8"/>
        <v>0</v>
      </c>
      <c r="Z79" s="60">
        <f t="shared" si="8"/>
        <v>0</v>
      </c>
      <c r="AA79" s="60">
        <f t="shared" si="8"/>
        <v>0</v>
      </c>
      <c r="AB79" s="60">
        <f t="shared" si="8"/>
        <v>0</v>
      </c>
      <c r="AC79" s="60">
        <f t="shared" si="8"/>
        <v>0</v>
      </c>
      <c r="AD79" s="60">
        <f t="shared" si="8"/>
        <v>0</v>
      </c>
      <c r="AE79" s="60">
        <f t="shared" si="8"/>
        <v>0</v>
      </c>
      <c r="AF79" s="60">
        <f t="shared" si="8"/>
        <v>0</v>
      </c>
      <c r="AG79" s="60">
        <f t="shared" si="8"/>
        <v>0</v>
      </c>
      <c r="AH79" s="2"/>
      <c r="AI79" s="2"/>
    </row>
    <row r="80" spans="1:3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1:3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1:3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</sheetData>
  <mergeCells count="12">
    <mergeCell ref="D36:F36"/>
    <mergeCell ref="D37:F37"/>
    <mergeCell ref="D31:F31"/>
    <mergeCell ref="D32:F32"/>
    <mergeCell ref="D33:F33"/>
    <mergeCell ref="D34:F34"/>
    <mergeCell ref="D5:AG5"/>
    <mergeCell ref="AI5:AI6"/>
    <mergeCell ref="N26:R27"/>
    <mergeCell ref="M26:M27"/>
    <mergeCell ref="S26:X27"/>
    <mergeCell ref="D26:K27"/>
  </mergeCells>
  <conditionalFormatting sqref="D30:AG30">
    <cfRule type="colorScale" priority="7">
      <colorScale>
        <cfvo type="min"/>
        <cfvo type="max"/>
        <color theme="7" tint="0.59999389629810485"/>
        <color theme="5" tint="-0.249977111117893"/>
      </colorScale>
    </cfRule>
  </conditionalFormatting>
  <conditionalFormatting sqref="AA27:AG27">
    <cfRule type="expression" dxfId="2" priority="2">
      <formula>(L81=TRUE)</formula>
    </cfRule>
  </conditionalFormatting>
  <conditionalFormatting sqref="D26">
    <cfRule type="expression" dxfId="1" priority="1">
      <formula>(J81=TRUE)</formula>
    </cfRule>
  </conditionalFormatting>
  <conditionalFormatting sqref="Y27:AG27">
    <cfRule type="colorScale" priority="11">
      <colorScale>
        <cfvo type="num" val="0"/>
        <cfvo type="percent" val="0.1"/>
        <cfvo type="max"/>
        <color theme="0"/>
        <color theme="0"/>
        <color theme="1" tint="0.14999847407452621"/>
      </colorScale>
    </cfRule>
  </conditionalFormatting>
  <conditionalFormatting sqref="D7:AG24">
    <cfRule type="expression" dxfId="0" priority="9">
      <formula>(D62=1)</formula>
    </cfRule>
    <cfRule type="colorScale" priority="10">
      <colorScale>
        <cfvo type="num" val="0.1"/>
        <cfvo type="max"/>
        <color theme="0"/>
        <color theme="1" tint="0.14999847407452621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"/>
  <dimension ref="A2:AJ45"/>
  <sheetViews>
    <sheetView topLeftCell="A2" workbookViewId="0">
      <selection activeCell="B25" sqref="B25"/>
    </sheetView>
  </sheetViews>
  <sheetFormatPr defaultRowHeight="15" x14ac:dyDescent="0.25"/>
  <cols>
    <col min="2" max="2" width="30.42578125" customWidth="1"/>
    <col min="3" max="6" width="4" customWidth="1"/>
    <col min="7" max="32" width="4" bestFit="1" customWidth="1"/>
    <col min="33" max="33" width="4.28515625" customWidth="1"/>
    <col min="34" max="34" width="7" customWidth="1"/>
    <col min="35" max="35" width="26.28515625" customWidth="1"/>
    <col min="36" max="36" width="8.28515625" bestFit="1" customWidth="1"/>
  </cols>
  <sheetData>
    <row r="2" spans="1:36" x14ac:dyDescent="0.25">
      <c r="A2" s="1"/>
      <c r="C2" s="71" t="s">
        <v>35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</row>
    <row r="3" spans="1:36" x14ac:dyDescent="0.25">
      <c r="A3" s="1" t="s">
        <v>36</v>
      </c>
      <c r="B3" s="1" t="s">
        <v>0</v>
      </c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  <c r="M3" s="1">
        <v>11</v>
      </c>
      <c r="N3" s="1">
        <v>12</v>
      </c>
      <c r="O3" s="1">
        <v>13</v>
      </c>
      <c r="P3" s="1">
        <v>14</v>
      </c>
      <c r="Q3" s="1">
        <v>15</v>
      </c>
      <c r="R3" s="1">
        <v>16</v>
      </c>
      <c r="S3" s="1">
        <v>17</v>
      </c>
      <c r="T3" s="1">
        <v>18</v>
      </c>
      <c r="U3" s="1">
        <v>19</v>
      </c>
      <c r="V3" s="1">
        <v>20</v>
      </c>
      <c r="W3" s="1">
        <v>21</v>
      </c>
      <c r="X3" s="1">
        <v>22</v>
      </c>
      <c r="Y3" s="1">
        <v>23</v>
      </c>
      <c r="Z3" s="1">
        <v>24</v>
      </c>
      <c r="AA3" s="1">
        <v>25</v>
      </c>
      <c r="AB3" s="1">
        <v>26</v>
      </c>
      <c r="AC3" s="1">
        <v>27</v>
      </c>
      <c r="AD3" s="1">
        <v>28</v>
      </c>
      <c r="AE3" s="1">
        <v>29</v>
      </c>
      <c r="AF3" s="1">
        <v>30</v>
      </c>
      <c r="AH3" s="1"/>
    </row>
    <row r="4" spans="1:36" x14ac:dyDescent="0.25">
      <c r="A4">
        <v>0</v>
      </c>
      <c r="B4" s="57" t="s">
        <v>2</v>
      </c>
      <c r="C4" s="57">
        <f t="array" ref="C4">INDEX(ProjectTable[Hours Required],C$3 +$A4)</f>
        <v>5</v>
      </c>
      <c r="D4" s="57">
        <f t="array" ref="D4">INDEX(ProjectTable[Hours Required],D$3 +$A4)</f>
        <v>5</v>
      </c>
      <c r="E4" s="57">
        <f t="array" ref="E4">INDEX(ProjectTable[Hours Required],E$3 +$A4)</f>
        <v>4</v>
      </c>
      <c r="F4" s="57">
        <f t="array" ref="F4">INDEX(ProjectTable[Hours Required],F$3 +$A4)</f>
        <v>3</v>
      </c>
      <c r="G4" s="57">
        <f t="array" ref="G4">INDEX(ProjectTable[Hours Required],G$3 +$A4)</f>
        <v>2</v>
      </c>
      <c r="H4" s="57">
        <f t="array" ref="H4">INDEX(ProjectTable[Hours Required],H$3 +$A4)</f>
        <v>1</v>
      </c>
      <c r="I4" s="57">
        <f t="array" ref="I4">INDEX(ProjectTable[Hours Required],I$3 +$A4)</f>
        <v>0</v>
      </c>
      <c r="J4" s="57">
        <f t="array" ref="J4">INDEX(ProjectTable[Hours Required],J$3 +$A4)</f>
        <v>0</v>
      </c>
      <c r="K4" s="57">
        <f t="array" ref="K4">INDEX(ProjectTable[Hours Required],K$3 +$A4)</f>
        <v>0</v>
      </c>
      <c r="L4" s="57">
        <f t="array" ref="L4">INDEX(ProjectTable[Hours Required],L$3 +$A4)</f>
        <v>0</v>
      </c>
      <c r="M4" s="57">
        <f t="array" ref="M4">INDEX(ProjectTable[Hours Required],M$3 +$A4)</f>
        <v>0</v>
      </c>
      <c r="N4" s="57">
        <f t="array" ref="N4">INDEX(ProjectTable[Hours Required],N$3 +$A4)</f>
        <v>0</v>
      </c>
      <c r="O4" s="57">
        <f t="array" ref="O4">INDEX(ProjectTable[Hours Required],O$3 +$A4)</f>
        <v>0</v>
      </c>
      <c r="P4" s="57">
        <f t="array" ref="P4">INDEX(ProjectTable[Hours Required],P$3 +$A4)</f>
        <v>0</v>
      </c>
      <c r="Q4" s="57">
        <f t="array" ref="Q4">INDEX(ProjectTable[Hours Required],Q$3 +$A4)</f>
        <v>0</v>
      </c>
      <c r="R4" s="57">
        <f t="array" ref="R4">INDEX(ProjectTable[Hours Required],R$3 +$A4)</f>
        <v>0</v>
      </c>
      <c r="S4" s="57">
        <f t="array" ref="S4">INDEX(ProjectTable[Hours Required],S$3 +$A4)</f>
        <v>0</v>
      </c>
      <c r="T4" s="57">
        <f t="array" ref="T4">INDEX(ProjectTable[Hours Required],T$3 +$A4)</f>
        <v>0</v>
      </c>
      <c r="U4" s="57">
        <f t="array" ref="U4">INDEX(ProjectTable[Hours Required],U$3 +$A4)</f>
        <v>0</v>
      </c>
      <c r="V4" s="57">
        <f t="array" ref="V4">INDEX(ProjectTable[Hours Required],V$3 +$A4)</f>
        <v>0</v>
      </c>
      <c r="W4" s="57">
        <f t="array" ref="W4">INDEX(ProjectTable[Hours Required],W$3 +$A4)</f>
        <v>0</v>
      </c>
      <c r="X4" s="57">
        <f t="array" ref="X4">INDEX(ProjectTable[Hours Required],X$3 +$A4)</f>
        <v>0</v>
      </c>
      <c r="Y4" s="57">
        <f t="array" ref="Y4">INDEX(ProjectTable[Hours Required],Y$3 +$A4)</f>
        <v>0</v>
      </c>
      <c r="Z4" s="57">
        <f t="array" ref="Z4">INDEX(ProjectTable[Hours Required],Z$3 +$A4)</f>
        <v>0</v>
      </c>
      <c r="AA4" s="57">
        <f t="array" ref="AA4">INDEX(ProjectTable[Hours Required],AA$3 +$A4)</f>
        <v>0</v>
      </c>
      <c r="AB4" s="57">
        <f t="array" ref="AB4">INDEX(ProjectTable[Hours Required],AB$3 +$A4)</f>
        <v>0</v>
      </c>
      <c r="AC4" s="57">
        <f t="array" ref="AC4">INDEX(ProjectTable[Hours Required],AC$3 +$A4)</f>
        <v>0</v>
      </c>
      <c r="AD4" s="57">
        <f t="array" ref="AD4">INDEX(ProjectTable[Hours Required],AD$3 +$A4)</f>
        <v>0</v>
      </c>
      <c r="AE4" s="57">
        <f t="array" ref="AE4">INDEX(ProjectTable[Hours Required],AE$3 +$A4)</f>
        <v>0</v>
      </c>
      <c r="AF4" s="57">
        <f t="array" ref="AF4">INDEX(ProjectTable[Hours Required],AF$3 +$A4)</f>
        <v>0</v>
      </c>
      <c r="AI4" s="20"/>
      <c r="AJ4" s="19"/>
    </row>
    <row r="5" spans="1:36" x14ac:dyDescent="0.25">
      <c r="A5">
        <v>30</v>
      </c>
      <c r="B5" t="s">
        <v>3</v>
      </c>
      <c r="C5" s="57">
        <f t="array" ref="C5">INDEX(ProjectTable[Hours Required],C$3 +$A5)</f>
        <v>0</v>
      </c>
      <c r="D5" s="57">
        <f t="array" ref="D5">INDEX(ProjectTable[Hours Required],D$3 +$A5)</f>
        <v>6</v>
      </c>
      <c r="E5" s="57">
        <f t="array" ref="E5">INDEX(ProjectTable[Hours Required],E$3 +$A5)</f>
        <v>6</v>
      </c>
      <c r="F5" s="57">
        <f t="array" ref="F5">INDEX(ProjectTable[Hours Required],F$3 +$A5)</f>
        <v>5</v>
      </c>
      <c r="G5" s="57">
        <f t="array" ref="G5">INDEX(ProjectTable[Hours Required],G$3 +$A5)</f>
        <v>4</v>
      </c>
      <c r="H5" s="57">
        <f t="array" ref="H5">INDEX(ProjectTable[Hours Required],H$3 +$A5)</f>
        <v>3</v>
      </c>
      <c r="I5" s="57">
        <f t="array" ref="I5">INDEX(ProjectTable[Hours Required],I$3 +$A5)</f>
        <v>3</v>
      </c>
      <c r="J5" s="57">
        <f t="array" ref="J5">INDEX(ProjectTable[Hours Required],J$3 +$A5)</f>
        <v>3</v>
      </c>
      <c r="K5" s="57">
        <f t="array" ref="K5">INDEX(ProjectTable[Hours Required],K$3 +$A5)</f>
        <v>2</v>
      </c>
      <c r="L5" s="57">
        <f t="array" ref="L5">INDEX(ProjectTable[Hours Required],L$3 +$A5)</f>
        <v>1</v>
      </c>
      <c r="M5" s="57">
        <f t="array" ref="M5">INDEX(ProjectTable[Hours Required],M$3 +$A5)</f>
        <v>0</v>
      </c>
      <c r="N5" s="57">
        <f t="array" ref="N5">INDEX(ProjectTable[Hours Required],N$3 +$A5)</f>
        <v>0</v>
      </c>
      <c r="O5" s="57">
        <f t="array" ref="O5">INDEX(ProjectTable[Hours Required],O$3 +$A5)</f>
        <v>0</v>
      </c>
      <c r="P5" s="57">
        <f t="array" ref="P5">INDEX(ProjectTable[Hours Required],P$3 +$A5)</f>
        <v>0</v>
      </c>
      <c r="Q5" s="57">
        <f t="array" ref="Q5">INDEX(ProjectTable[Hours Required],Q$3 +$A5)</f>
        <v>0</v>
      </c>
      <c r="R5" s="57">
        <f t="array" ref="R5">INDEX(ProjectTable[Hours Required],R$3 +$A5)</f>
        <v>0</v>
      </c>
      <c r="S5" s="57">
        <f t="array" ref="S5">INDEX(ProjectTable[Hours Required],S$3 +$A5)</f>
        <v>0</v>
      </c>
      <c r="T5" s="57">
        <f t="array" ref="T5">INDEX(ProjectTable[Hours Required],T$3 +$A5)</f>
        <v>0</v>
      </c>
      <c r="U5" s="57">
        <f t="array" ref="U5">INDEX(ProjectTable[Hours Required],U$3 +$A5)</f>
        <v>0</v>
      </c>
      <c r="V5" s="57">
        <f t="array" ref="V5">INDEX(ProjectTable[Hours Required],V$3 +$A5)</f>
        <v>0</v>
      </c>
      <c r="W5" s="57">
        <f t="array" ref="W5">INDEX(ProjectTable[Hours Required],W$3 +$A5)</f>
        <v>0</v>
      </c>
      <c r="X5" s="57">
        <f t="array" ref="X5">INDEX(ProjectTable[Hours Required],X$3 +$A5)</f>
        <v>0</v>
      </c>
      <c r="Y5" s="57">
        <f t="array" ref="Y5">INDEX(ProjectTable[Hours Required],Y$3 +$A5)</f>
        <v>0</v>
      </c>
      <c r="Z5" s="57">
        <f t="array" ref="Z5">INDEX(ProjectTable[Hours Required],Z$3 +$A5)</f>
        <v>0</v>
      </c>
      <c r="AA5" s="57">
        <f t="array" ref="AA5">INDEX(ProjectTable[Hours Required],AA$3 +$A5)</f>
        <v>0</v>
      </c>
      <c r="AB5" s="57">
        <f t="array" ref="AB5">INDEX(ProjectTable[Hours Required],AB$3 +$A5)</f>
        <v>0</v>
      </c>
      <c r="AC5" s="57">
        <f t="array" ref="AC5">INDEX(ProjectTable[Hours Required],AC$3 +$A5)</f>
        <v>0</v>
      </c>
      <c r="AD5" s="57">
        <f t="array" ref="AD5">INDEX(ProjectTable[Hours Required],AD$3 +$A5)</f>
        <v>0</v>
      </c>
      <c r="AE5" s="57">
        <f t="array" ref="AE5">INDEX(ProjectTable[Hours Required],AE$3 +$A5)</f>
        <v>0</v>
      </c>
      <c r="AF5" s="57">
        <f t="array" ref="AF5">INDEX(ProjectTable[Hours Required],AF$3 +$A5)</f>
        <v>0</v>
      </c>
      <c r="AI5" s="20"/>
      <c r="AJ5" s="19"/>
    </row>
    <row r="6" spans="1:36" x14ac:dyDescent="0.25">
      <c r="A6">
        <v>60</v>
      </c>
      <c r="B6" t="s">
        <v>4</v>
      </c>
      <c r="C6" s="57">
        <f t="array" ref="C6">INDEX(ProjectTable[Hours Required],C$3 +$A6)</f>
        <v>0</v>
      </c>
      <c r="D6" s="57">
        <f t="array" ref="D6">INDEX(ProjectTable[Hours Required],D$3 +$A6)</f>
        <v>4</v>
      </c>
      <c r="E6" s="57">
        <f t="array" ref="E6">INDEX(ProjectTable[Hours Required],E$3 +$A6)</f>
        <v>5</v>
      </c>
      <c r="F6" s="57">
        <f t="array" ref="F6">INDEX(ProjectTable[Hours Required],F$3 +$A6)</f>
        <v>6</v>
      </c>
      <c r="G6" s="57">
        <f t="array" ref="G6">INDEX(ProjectTable[Hours Required],G$3 +$A6)</f>
        <v>7</v>
      </c>
      <c r="H6" s="57">
        <f t="array" ref="H6">INDEX(ProjectTable[Hours Required],H$3 +$A6)</f>
        <v>7</v>
      </c>
      <c r="I6" s="57">
        <f t="array" ref="I6">INDEX(ProjectTable[Hours Required],I$3 +$A6)</f>
        <v>6</v>
      </c>
      <c r="J6" s="57">
        <f t="array" ref="J6">INDEX(ProjectTable[Hours Required],J$3 +$A6)</f>
        <v>6</v>
      </c>
      <c r="K6" s="57">
        <f t="array" ref="K6">INDEX(ProjectTable[Hours Required],K$3 +$A6)</f>
        <v>5</v>
      </c>
      <c r="L6" s="57">
        <f t="array" ref="L6">INDEX(ProjectTable[Hours Required],L$3 +$A6)</f>
        <v>4</v>
      </c>
      <c r="M6" s="57">
        <f t="array" ref="M6">INDEX(ProjectTable[Hours Required],M$3 +$A6)</f>
        <v>3</v>
      </c>
      <c r="N6" s="57">
        <f t="array" ref="N6">INDEX(ProjectTable[Hours Required],N$3 +$A6)</f>
        <v>2</v>
      </c>
      <c r="O6" s="57">
        <f t="array" ref="O6">INDEX(ProjectTable[Hours Required],O$3 +$A6)</f>
        <v>1</v>
      </c>
      <c r="P6" s="57">
        <f t="array" ref="P6">INDEX(ProjectTable[Hours Required],P$3 +$A6)</f>
        <v>0</v>
      </c>
      <c r="Q6" s="57">
        <f t="array" ref="Q6">INDEX(ProjectTable[Hours Required],Q$3 +$A6)</f>
        <v>0</v>
      </c>
      <c r="R6" s="57">
        <f t="array" ref="R6">INDEX(ProjectTable[Hours Required],R$3 +$A6)</f>
        <v>0</v>
      </c>
      <c r="S6" s="57">
        <f t="array" ref="S6">INDEX(ProjectTable[Hours Required],S$3 +$A6)</f>
        <v>0</v>
      </c>
      <c r="T6" s="57">
        <f t="array" ref="T6">INDEX(ProjectTable[Hours Required],T$3 +$A6)</f>
        <v>0</v>
      </c>
      <c r="U6" s="57">
        <f t="array" ref="U6">INDEX(ProjectTable[Hours Required],U$3 +$A6)</f>
        <v>0</v>
      </c>
      <c r="V6" s="57">
        <f t="array" ref="V6">INDEX(ProjectTable[Hours Required],V$3 +$A6)</f>
        <v>0</v>
      </c>
      <c r="W6" s="57">
        <f t="array" ref="W6">INDEX(ProjectTable[Hours Required],W$3 +$A6)</f>
        <v>0</v>
      </c>
      <c r="X6" s="57">
        <f t="array" ref="X6">INDEX(ProjectTable[Hours Required],X$3 +$A6)</f>
        <v>0</v>
      </c>
      <c r="Y6" s="57">
        <f t="array" ref="Y6">INDEX(ProjectTable[Hours Required],Y$3 +$A6)</f>
        <v>0</v>
      </c>
      <c r="Z6" s="57">
        <f t="array" ref="Z6">INDEX(ProjectTable[Hours Required],Z$3 +$A6)</f>
        <v>0</v>
      </c>
      <c r="AA6" s="57">
        <f t="array" ref="AA6">INDEX(ProjectTable[Hours Required],AA$3 +$A6)</f>
        <v>0</v>
      </c>
      <c r="AB6" s="57">
        <f t="array" ref="AB6">INDEX(ProjectTable[Hours Required],AB$3 +$A6)</f>
        <v>0</v>
      </c>
      <c r="AC6" s="57">
        <f t="array" ref="AC6">INDEX(ProjectTable[Hours Required],AC$3 +$A6)</f>
        <v>0</v>
      </c>
      <c r="AD6" s="57">
        <f t="array" ref="AD6">INDEX(ProjectTable[Hours Required],AD$3 +$A6)</f>
        <v>0</v>
      </c>
      <c r="AE6" s="57">
        <f t="array" ref="AE6">INDEX(ProjectTable[Hours Required],AE$3 +$A6)</f>
        <v>0</v>
      </c>
      <c r="AF6" s="57">
        <f t="array" ref="AF6">INDEX(ProjectTable[Hours Required],AF$3 +$A6)</f>
        <v>0</v>
      </c>
      <c r="AI6" s="20"/>
      <c r="AJ6" s="19"/>
    </row>
    <row r="7" spans="1:36" x14ac:dyDescent="0.25">
      <c r="A7">
        <v>90</v>
      </c>
      <c r="B7" t="s">
        <v>5</v>
      </c>
      <c r="C7" s="57">
        <f t="array" ref="C7">INDEX(ProjectTable[Hours Required],C$3 +$A7)</f>
        <v>0</v>
      </c>
      <c r="D7" s="57">
        <f t="array" ref="D7">INDEX(ProjectTable[Hours Required],D$3 +$A7)</f>
        <v>0</v>
      </c>
      <c r="E7" s="57">
        <f t="array" ref="E7">INDEX(ProjectTable[Hours Required],E$3 +$A7)</f>
        <v>5</v>
      </c>
      <c r="F7" s="57">
        <f t="array" ref="F7">INDEX(ProjectTable[Hours Required],F$3 +$A7)</f>
        <v>6</v>
      </c>
      <c r="G7" s="57">
        <f t="array" ref="G7">INDEX(ProjectTable[Hours Required],G$3 +$A7)</f>
        <v>6</v>
      </c>
      <c r="H7" s="57">
        <f t="array" ref="H7">INDEX(ProjectTable[Hours Required],H$3 +$A7)</f>
        <v>6</v>
      </c>
      <c r="I7" s="57">
        <f t="array" ref="I7">INDEX(ProjectTable[Hours Required],I$3 +$A7)</f>
        <v>7</v>
      </c>
      <c r="J7" s="57">
        <f t="array" ref="J7">INDEX(ProjectTable[Hours Required],J$3 +$A7)</f>
        <v>7</v>
      </c>
      <c r="K7" s="57">
        <f t="array" ref="K7">INDEX(ProjectTable[Hours Required],K$3 +$A7)</f>
        <v>10</v>
      </c>
      <c r="L7" s="57">
        <f t="array" ref="L7">INDEX(ProjectTable[Hours Required],L$3 +$A7)</f>
        <v>10</v>
      </c>
      <c r="M7" s="57">
        <f t="array" ref="M7">INDEX(ProjectTable[Hours Required],M$3 +$A7)</f>
        <v>9</v>
      </c>
      <c r="N7" s="57">
        <f t="array" ref="N7">INDEX(ProjectTable[Hours Required],N$3 +$A7)</f>
        <v>9</v>
      </c>
      <c r="O7" s="57">
        <f t="array" ref="O7">INDEX(ProjectTable[Hours Required],O$3 +$A7)</f>
        <v>9</v>
      </c>
      <c r="P7" s="57">
        <f t="array" ref="P7">INDEX(ProjectTable[Hours Required],P$3 +$A7)</f>
        <v>9</v>
      </c>
      <c r="Q7" s="57">
        <f t="array" ref="Q7">INDEX(ProjectTable[Hours Required],Q$3 +$A7)</f>
        <v>9</v>
      </c>
      <c r="R7" s="57">
        <f t="array" ref="R7">INDEX(ProjectTable[Hours Required],R$3 +$A7)</f>
        <v>9</v>
      </c>
      <c r="S7" s="57">
        <f t="array" ref="S7">INDEX(ProjectTable[Hours Required],S$3 +$A7)</f>
        <v>9</v>
      </c>
      <c r="T7" s="57">
        <f t="array" ref="T7">INDEX(ProjectTable[Hours Required],T$3 +$A7)</f>
        <v>8</v>
      </c>
      <c r="U7" s="57">
        <f t="array" ref="U7">INDEX(ProjectTable[Hours Required],U$3 +$A7)</f>
        <v>8</v>
      </c>
      <c r="V7" s="57">
        <f t="array" ref="V7">INDEX(ProjectTable[Hours Required],V$3 +$A7)</f>
        <v>8</v>
      </c>
      <c r="W7" s="57">
        <f t="array" ref="W7">INDEX(ProjectTable[Hours Required],W$3 +$A7)</f>
        <v>8</v>
      </c>
      <c r="X7" s="57">
        <f t="array" ref="X7">INDEX(ProjectTable[Hours Required],X$3 +$A7)</f>
        <v>8</v>
      </c>
      <c r="Y7" s="57">
        <f t="array" ref="Y7">INDEX(ProjectTable[Hours Required],Y$3 +$A7)</f>
        <v>8</v>
      </c>
      <c r="Z7" s="57">
        <f t="array" ref="Z7">INDEX(ProjectTable[Hours Required],Z$3 +$A7)</f>
        <v>8</v>
      </c>
      <c r="AA7" s="57">
        <f t="array" ref="AA7">INDEX(ProjectTable[Hours Required],AA$3 +$A7)</f>
        <v>0</v>
      </c>
      <c r="AB7" s="57">
        <f t="array" ref="AB7">INDEX(ProjectTable[Hours Required],AB$3 +$A7)</f>
        <v>0</v>
      </c>
      <c r="AC7" s="57">
        <f t="array" ref="AC7">INDEX(ProjectTable[Hours Required],AC$3 +$A7)</f>
        <v>0</v>
      </c>
      <c r="AD7" s="57">
        <f t="array" ref="AD7">INDEX(ProjectTable[Hours Required],AD$3 +$A7)</f>
        <v>0</v>
      </c>
      <c r="AE7" s="57">
        <f t="array" ref="AE7">INDEX(ProjectTable[Hours Required],AE$3 +$A7)</f>
        <v>0</v>
      </c>
      <c r="AF7" s="57">
        <f t="array" ref="AF7">INDEX(ProjectTable[Hours Required],AF$3 +$A7)</f>
        <v>0</v>
      </c>
      <c r="AI7" s="20"/>
      <c r="AJ7" s="19"/>
    </row>
    <row r="8" spans="1:36" x14ac:dyDescent="0.25">
      <c r="A8">
        <v>120</v>
      </c>
      <c r="B8" t="s">
        <v>6</v>
      </c>
      <c r="C8" s="57">
        <f t="array" ref="C8">INDEX(ProjectTable[Hours Required],C$3 +$A8)</f>
        <v>0</v>
      </c>
      <c r="D8" s="57">
        <f t="array" ref="D8">INDEX(ProjectTable[Hours Required],D$3 +$A8)</f>
        <v>0</v>
      </c>
      <c r="E8" s="57">
        <f t="array" ref="E8">INDEX(ProjectTable[Hours Required],E$3 +$A8)</f>
        <v>0</v>
      </c>
      <c r="F8" s="57">
        <f t="array" ref="F8">INDEX(ProjectTable[Hours Required],F$3 +$A8)</f>
        <v>4</v>
      </c>
      <c r="G8" s="57">
        <f t="array" ref="G8">INDEX(ProjectTable[Hours Required],G$3 +$A8)</f>
        <v>4</v>
      </c>
      <c r="H8" s="57">
        <f t="array" ref="H8">INDEX(ProjectTable[Hours Required],H$3 +$A8)</f>
        <v>5</v>
      </c>
      <c r="I8" s="57">
        <f t="array" ref="I8">INDEX(ProjectTable[Hours Required],I$3 +$A8)</f>
        <v>5</v>
      </c>
      <c r="J8" s="57">
        <f t="array" ref="J8">INDEX(ProjectTable[Hours Required],J$3 +$A8)</f>
        <v>5</v>
      </c>
      <c r="K8" s="57">
        <f t="array" ref="K8">INDEX(ProjectTable[Hours Required],K$3 +$A8)</f>
        <v>4</v>
      </c>
      <c r="L8" s="57">
        <f t="array" ref="L8">INDEX(ProjectTable[Hours Required],L$3 +$A8)</f>
        <v>4</v>
      </c>
      <c r="M8" s="57">
        <f t="array" ref="M8">INDEX(ProjectTable[Hours Required],M$3 +$A8)</f>
        <v>3</v>
      </c>
      <c r="N8" s="57">
        <f t="array" ref="N8">INDEX(ProjectTable[Hours Required],N$3 +$A8)</f>
        <v>2</v>
      </c>
      <c r="O8" s="57">
        <f t="array" ref="O8">INDEX(ProjectTable[Hours Required],O$3 +$A8)</f>
        <v>1</v>
      </c>
      <c r="P8" s="57">
        <f t="array" ref="P8">INDEX(ProjectTable[Hours Required],P$3 +$A8)</f>
        <v>1</v>
      </c>
      <c r="Q8" s="57">
        <f t="array" ref="Q8">INDEX(ProjectTable[Hours Required],Q$3 +$A8)</f>
        <v>0</v>
      </c>
      <c r="R8" s="57">
        <f t="array" ref="R8">INDEX(ProjectTable[Hours Required],R$3 +$A8)</f>
        <v>0</v>
      </c>
      <c r="S8" s="57">
        <f t="array" ref="S8">INDEX(ProjectTable[Hours Required],S$3 +$A8)</f>
        <v>0</v>
      </c>
      <c r="T8" s="57">
        <f t="array" ref="T8">INDEX(ProjectTable[Hours Required],T$3 +$A8)</f>
        <v>0</v>
      </c>
      <c r="U8" s="57">
        <f t="array" ref="U8">INDEX(ProjectTable[Hours Required],U$3 +$A8)</f>
        <v>0</v>
      </c>
      <c r="V8" s="57">
        <f t="array" ref="V8">INDEX(ProjectTable[Hours Required],V$3 +$A8)</f>
        <v>0</v>
      </c>
      <c r="W8" s="57">
        <f t="array" ref="W8">INDEX(ProjectTable[Hours Required],W$3 +$A8)</f>
        <v>0</v>
      </c>
      <c r="X8" s="57">
        <f t="array" ref="X8">INDEX(ProjectTable[Hours Required],X$3 +$A8)</f>
        <v>0</v>
      </c>
      <c r="Y8" s="57">
        <f t="array" ref="Y8">INDEX(ProjectTable[Hours Required],Y$3 +$A8)</f>
        <v>0</v>
      </c>
      <c r="Z8" s="57">
        <f t="array" ref="Z8">INDEX(ProjectTable[Hours Required],Z$3 +$A8)</f>
        <v>0</v>
      </c>
      <c r="AA8" s="57">
        <f t="array" ref="AA8">INDEX(ProjectTable[Hours Required],AA$3 +$A8)</f>
        <v>0</v>
      </c>
      <c r="AB8" s="57">
        <f t="array" ref="AB8">INDEX(ProjectTable[Hours Required],AB$3 +$A8)</f>
        <v>0</v>
      </c>
      <c r="AC8" s="57">
        <f t="array" ref="AC8">INDEX(ProjectTable[Hours Required],AC$3 +$A8)</f>
        <v>0</v>
      </c>
      <c r="AD8" s="57">
        <f t="array" ref="AD8">INDEX(ProjectTable[Hours Required],AD$3 +$A8)</f>
        <v>0</v>
      </c>
      <c r="AE8" s="57">
        <f t="array" ref="AE8">INDEX(ProjectTable[Hours Required],AE$3 +$A8)</f>
        <v>0</v>
      </c>
      <c r="AF8" s="57">
        <f t="array" ref="AF8">INDEX(ProjectTable[Hours Required],AF$3 +$A8)</f>
        <v>0</v>
      </c>
      <c r="AI8" s="20"/>
      <c r="AJ8" s="19"/>
    </row>
    <row r="9" spans="1:36" x14ac:dyDescent="0.25">
      <c r="A9">
        <v>150</v>
      </c>
      <c r="B9" t="s">
        <v>7</v>
      </c>
      <c r="C9" s="57">
        <f t="array" ref="C9">INDEX(ProjectTable[Hours Required],C$3 +$A9)</f>
        <v>0</v>
      </c>
      <c r="D9" s="57">
        <f t="array" ref="D9">INDEX(ProjectTable[Hours Required],D$3 +$A9)</f>
        <v>0</v>
      </c>
      <c r="E9" s="57">
        <f t="array" ref="E9">INDEX(ProjectTable[Hours Required],E$3 +$A9)</f>
        <v>0</v>
      </c>
      <c r="F9" s="57">
        <f t="array" ref="F9">INDEX(ProjectTable[Hours Required],F$3 +$A9)</f>
        <v>4</v>
      </c>
      <c r="G9" s="57">
        <f t="array" ref="G9">INDEX(ProjectTable[Hours Required],G$3 +$A9)</f>
        <v>5</v>
      </c>
      <c r="H9" s="57">
        <f t="array" ref="H9">INDEX(ProjectTable[Hours Required],H$3 +$A9)</f>
        <v>6</v>
      </c>
      <c r="I9" s="57">
        <f t="array" ref="I9">INDEX(ProjectTable[Hours Required],I$3 +$A9)</f>
        <v>6</v>
      </c>
      <c r="J9" s="57">
        <f t="array" ref="J9">INDEX(ProjectTable[Hours Required],J$3 +$A9)</f>
        <v>5</v>
      </c>
      <c r="K9" s="57">
        <f t="array" ref="K9">INDEX(ProjectTable[Hours Required],K$3 +$A9)</f>
        <v>4</v>
      </c>
      <c r="L9" s="57">
        <f t="array" ref="L9">INDEX(ProjectTable[Hours Required],L$3 +$A9)</f>
        <v>3</v>
      </c>
      <c r="M9" s="57">
        <f t="array" ref="M9">INDEX(ProjectTable[Hours Required],M$3 +$A9)</f>
        <v>0</v>
      </c>
      <c r="N9" s="57">
        <f t="array" ref="N9">INDEX(ProjectTable[Hours Required],N$3 +$A9)</f>
        <v>0</v>
      </c>
      <c r="O9" s="57">
        <f t="array" ref="O9">INDEX(ProjectTable[Hours Required],O$3 +$A9)</f>
        <v>0</v>
      </c>
      <c r="P9" s="57">
        <f t="array" ref="P9">INDEX(ProjectTable[Hours Required],P$3 +$A9)</f>
        <v>0</v>
      </c>
      <c r="Q9" s="57">
        <f t="array" ref="Q9">INDEX(ProjectTable[Hours Required],Q$3 +$A9)</f>
        <v>0</v>
      </c>
      <c r="R9" s="57">
        <f t="array" ref="R9">INDEX(ProjectTable[Hours Required],R$3 +$A9)</f>
        <v>0</v>
      </c>
      <c r="S9" s="57">
        <f t="array" ref="S9">INDEX(ProjectTable[Hours Required],S$3 +$A9)</f>
        <v>0</v>
      </c>
      <c r="T9" s="57">
        <f t="array" ref="T9">INDEX(ProjectTable[Hours Required],T$3 +$A9)</f>
        <v>0</v>
      </c>
      <c r="U9" s="57">
        <f t="array" ref="U9">INDEX(ProjectTable[Hours Required],U$3 +$A9)</f>
        <v>0</v>
      </c>
      <c r="V9" s="57">
        <f t="array" ref="V9">INDEX(ProjectTable[Hours Required],V$3 +$A9)</f>
        <v>0</v>
      </c>
      <c r="W9" s="57">
        <f t="array" ref="W9">INDEX(ProjectTable[Hours Required],W$3 +$A9)</f>
        <v>0</v>
      </c>
      <c r="X9" s="57">
        <f t="array" ref="X9">INDEX(ProjectTable[Hours Required],X$3 +$A9)</f>
        <v>0</v>
      </c>
      <c r="Y9" s="57">
        <f t="array" ref="Y9">INDEX(ProjectTable[Hours Required],Y$3 +$A9)</f>
        <v>0</v>
      </c>
      <c r="Z9" s="57">
        <f t="array" ref="Z9">INDEX(ProjectTable[Hours Required],Z$3 +$A9)</f>
        <v>0</v>
      </c>
      <c r="AA9" s="57">
        <f t="array" ref="AA9">INDEX(ProjectTable[Hours Required],AA$3 +$A9)</f>
        <v>0</v>
      </c>
      <c r="AB9" s="57">
        <f t="array" ref="AB9">INDEX(ProjectTable[Hours Required],AB$3 +$A9)</f>
        <v>0</v>
      </c>
      <c r="AC9" s="57">
        <f t="array" ref="AC9">INDEX(ProjectTable[Hours Required],AC$3 +$A9)</f>
        <v>0</v>
      </c>
      <c r="AD9" s="57">
        <f t="array" ref="AD9">INDEX(ProjectTable[Hours Required],AD$3 +$A9)</f>
        <v>0</v>
      </c>
      <c r="AE9" s="57">
        <f t="array" ref="AE9">INDEX(ProjectTable[Hours Required],AE$3 +$A9)</f>
        <v>0</v>
      </c>
      <c r="AF9" s="57">
        <f t="array" ref="AF9">INDEX(ProjectTable[Hours Required],AF$3 +$A9)</f>
        <v>0</v>
      </c>
      <c r="AI9" s="20"/>
      <c r="AJ9" s="19"/>
    </row>
    <row r="10" spans="1:36" x14ac:dyDescent="0.25">
      <c r="A10">
        <v>180</v>
      </c>
      <c r="B10" t="s">
        <v>8</v>
      </c>
      <c r="C10" s="57">
        <f t="array" ref="C10">INDEX(ProjectTable[Hours Required],C$3 +$A10)</f>
        <v>0</v>
      </c>
      <c r="D10" s="57">
        <f t="array" ref="D10">INDEX(ProjectTable[Hours Required],D$3 +$A10)</f>
        <v>0</v>
      </c>
      <c r="E10" s="57">
        <f t="array" ref="E10">INDEX(ProjectTable[Hours Required],E$3 +$A10)</f>
        <v>0</v>
      </c>
      <c r="F10" s="57">
        <f t="array" ref="F10">INDEX(ProjectTable[Hours Required],F$3 +$A10)</f>
        <v>0</v>
      </c>
      <c r="G10" s="57">
        <f t="array" ref="G10">INDEX(ProjectTable[Hours Required],G$3 +$A10)</f>
        <v>0</v>
      </c>
      <c r="H10" s="57">
        <f t="array" ref="H10">INDEX(ProjectTable[Hours Required],H$3 +$A10)</f>
        <v>5</v>
      </c>
      <c r="I10" s="57">
        <f t="array" ref="I10">INDEX(ProjectTable[Hours Required],I$3 +$A10)</f>
        <v>5</v>
      </c>
      <c r="J10" s="57">
        <f t="array" ref="J10">INDEX(ProjectTable[Hours Required],J$3 +$A10)</f>
        <v>6</v>
      </c>
      <c r="K10" s="57">
        <f t="array" ref="K10">INDEX(ProjectTable[Hours Required],K$3 +$A10)</f>
        <v>7</v>
      </c>
      <c r="L10" s="57">
        <f t="array" ref="L10">INDEX(ProjectTable[Hours Required],L$3 +$A10)</f>
        <v>8</v>
      </c>
      <c r="M10" s="57">
        <f t="array" ref="M10">INDEX(ProjectTable[Hours Required],M$3 +$A10)</f>
        <v>10</v>
      </c>
      <c r="N10" s="57">
        <f t="array" ref="N10">INDEX(ProjectTable[Hours Required],N$3 +$A10)</f>
        <v>11</v>
      </c>
      <c r="O10" s="57">
        <f t="array" ref="O10">INDEX(ProjectTable[Hours Required],O$3 +$A10)</f>
        <v>11</v>
      </c>
      <c r="P10" s="57">
        <f t="array" ref="P10">INDEX(ProjectTable[Hours Required],P$3 +$A10)</f>
        <v>12</v>
      </c>
      <c r="Q10" s="57">
        <f t="array" ref="Q10">INDEX(ProjectTable[Hours Required],Q$3 +$A10)</f>
        <v>14</v>
      </c>
      <c r="R10" s="57">
        <f t="array" ref="R10">INDEX(ProjectTable[Hours Required],R$3 +$A10)</f>
        <v>15</v>
      </c>
      <c r="S10" s="57">
        <f t="array" ref="S10">INDEX(ProjectTable[Hours Required],S$3 +$A10)</f>
        <v>3</v>
      </c>
      <c r="T10" s="57">
        <f t="array" ref="T10">INDEX(ProjectTable[Hours Required],T$3 +$A10)</f>
        <v>0</v>
      </c>
      <c r="U10" s="57">
        <f t="array" ref="U10">INDEX(ProjectTable[Hours Required],U$3 +$A10)</f>
        <v>0</v>
      </c>
      <c r="V10" s="57">
        <f t="array" ref="V10">INDEX(ProjectTable[Hours Required],V$3 +$A10)</f>
        <v>0</v>
      </c>
      <c r="W10" s="57">
        <f t="array" ref="W10">INDEX(ProjectTable[Hours Required],W$3 +$A10)</f>
        <v>0</v>
      </c>
      <c r="X10" s="57">
        <f t="array" ref="X10">INDEX(ProjectTable[Hours Required],X$3 +$A10)</f>
        <v>0</v>
      </c>
      <c r="Y10" s="57">
        <f t="array" ref="Y10">INDEX(ProjectTable[Hours Required],Y$3 +$A10)</f>
        <v>0</v>
      </c>
      <c r="Z10" s="57">
        <f t="array" ref="Z10">INDEX(ProjectTable[Hours Required],Z$3 +$A10)</f>
        <v>0</v>
      </c>
      <c r="AA10" s="57">
        <f t="array" ref="AA10">INDEX(ProjectTable[Hours Required],AA$3 +$A10)</f>
        <v>0</v>
      </c>
      <c r="AB10" s="57">
        <f t="array" ref="AB10">INDEX(ProjectTable[Hours Required],AB$3 +$A10)</f>
        <v>0</v>
      </c>
      <c r="AC10" s="57">
        <f t="array" ref="AC10">INDEX(ProjectTable[Hours Required],AC$3 +$A10)</f>
        <v>0</v>
      </c>
      <c r="AD10" s="57">
        <f t="array" ref="AD10">INDEX(ProjectTable[Hours Required],AD$3 +$A10)</f>
        <v>0</v>
      </c>
      <c r="AE10" s="57">
        <f t="array" ref="AE10">INDEX(ProjectTable[Hours Required],AE$3 +$A10)</f>
        <v>0</v>
      </c>
      <c r="AF10" s="57">
        <f t="array" ref="AF10">INDEX(ProjectTable[Hours Required],AF$3 +$A10)</f>
        <v>0</v>
      </c>
      <c r="AI10" s="20"/>
      <c r="AJ10" s="19"/>
    </row>
    <row r="11" spans="1:36" x14ac:dyDescent="0.25">
      <c r="A11">
        <v>210</v>
      </c>
      <c r="B11" t="s">
        <v>9</v>
      </c>
      <c r="C11" s="57">
        <f t="array" ref="C11">INDEX(ProjectTable[Hours Required],C$3 +$A11)</f>
        <v>0</v>
      </c>
      <c r="D11" s="57">
        <f t="array" ref="D11">INDEX(ProjectTable[Hours Required],D$3 +$A11)</f>
        <v>0</v>
      </c>
      <c r="E11" s="57">
        <f t="array" ref="E11">INDEX(ProjectTable[Hours Required],E$3 +$A11)</f>
        <v>0</v>
      </c>
      <c r="F11" s="57">
        <f t="array" ref="F11">INDEX(ProjectTable[Hours Required],F$3 +$A11)</f>
        <v>0</v>
      </c>
      <c r="G11" s="57">
        <f t="array" ref="G11">INDEX(ProjectTable[Hours Required],G$3 +$A11)</f>
        <v>0</v>
      </c>
      <c r="H11" s="57">
        <f t="array" ref="H11">INDEX(ProjectTable[Hours Required],H$3 +$A11)</f>
        <v>3</v>
      </c>
      <c r="I11" s="57">
        <f t="array" ref="I11">INDEX(ProjectTable[Hours Required],I$3 +$A11)</f>
        <v>4</v>
      </c>
      <c r="J11" s="57">
        <f t="array" ref="J11">INDEX(ProjectTable[Hours Required],J$3 +$A11)</f>
        <v>5</v>
      </c>
      <c r="K11" s="57">
        <f t="array" ref="K11">INDEX(ProjectTable[Hours Required],K$3 +$A11)</f>
        <v>5</v>
      </c>
      <c r="L11" s="57">
        <f t="array" ref="L11">INDEX(ProjectTable[Hours Required],L$3 +$A11)</f>
        <v>4</v>
      </c>
      <c r="M11" s="57">
        <f t="array" ref="M11">INDEX(ProjectTable[Hours Required],M$3 +$A11)</f>
        <v>3</v>
      </c>
      <c r="N11" s="57">
        <f t="array" ref="N11">INDEX(ProjectTable[Hours Required],N$3 +$A11)</f>
        <v>0</v>
      </c>
      <c r="O11" s="57">
        <f t="array" ref="O11">INDEX(ProjectTable[Hours Required],O$3 +$A11)</f>
        <v>0</v>
      </c>
      <c r="P11" s="57">
        <f t="array" ref="P11">INDEX(ProjectTable[Hours Required],P$3 +$A11)</f>
        <v>0</v>
      </c>
      <c r="Q11" s="57">
        <f t="array" ref="Q11">INDEX(ProjectTable[Hours Required],Q$3 +$A11)</f>
        <v>0</v>
      </c>
      <c r="R11" s="57">
        <f t="array" ref="R11">INDEX(ProjectTable[Hours Required],R$3 +$A11)</f>
        <v>0</v>
      </c>
      <c r="S11" s="57">
        <f t="array" ref="S11">INDEX(ProjectTable[Hours Required],S$3 +$A11)</f>
        <v>0</v>
      </c>
      <c r="T11" s="57">
        <f t="array" ref="T11">INDEX(ProjectTable[Hours Required],T$3 +$A11)</f>
        <v>0</v>
      </c>
      <c r="U11" s="57">
        <f t="array" ref="U11">INDEX(ProjectTable[Hours Required],U$3 +$A11)</f>
        <v>0</v>
      </c>
      <c r="V11" s="57">
        <f t="array" ref="V11">INDEX(ProjectTable[Hours Required],V$3 +$A11)</f>
        <v>0</v>
      </c>
      <c r="W11" s="57">
        <f t="array" ref="W11">INDEX(ProjectTable[Hours Required],W$3 +$A11)</f>
        <v>0</v>
      </c>
      <c r="X11" s="57">
        <f t="array" ref="X11">INDEX(ProjectTable[Hours Required],X$3 +$A11)</f>
        <v>0</v>
      </c>
      <c r="Y11" s="57">
        <f t="array" ref="Y11">INDEX(ProjectTable[Hours Required],Y$3 +$A11)</f>
        <v>0</v>
      </c>
      <c r="Z11" s="57">
        <f t="array" ref="Z11">INDEX(ProjectTable[Hours Required],Z$3 +$A11)</f>
        <v>0</v>
      </c>
      <c r="AA11" s="57">
        <f t="array" ref="AA11">INDEX(ProjectTable[Hours Required],AA$3 +$A11)</f>
        <v>0</v>
      </c>
      <c r="AB11" s="57">
        <f t="array" ref="AB11">INDEX(ProjectTable[Hours Required],AB$3 +$A11)</f>
        <v>0</v>
      </c>
      <c r="AC11" s="57">
        <f t="array" ref="AC11">INDEX(ProjectTable[Hours Required],AC$3 +$A11)</f>
        <v>0</v>
      </c>
      <c r="AD11" s="57">
        <f t="array" ref="AD11">INDEX(ProjectTable[Hours Required],AD$3 +$A11)</f>
        <v>0</v>
      </c>
      <c r="AE11" s="57">
        <f t="array" ref="AE11">INDEX(ProjectTable[Hours Required],AE$3 +$A11)</f>
        <v>0</v>
      </c>
      <c r="AF11" s="57">
        <f t="array" ref="AF11">INDEX(ProjectTable[Hours Required],AF$3 +$A11)</f>
        <v>0</v>
      </c>
      <c r="AI11" s="20"/>
      <c r="AJ11" s="19"/>
    </row>
    <row r="12" spans="1:36" x14ac:dyDescent="0.25">
      <c r="A12">
        <v>240</v>
      </c>
      <c r="B12" t="s">
        <v>10</v>
      </c>
      <c r="C12" s="57">
        <f t="array" ref="C12">INDEX(ProjectTable[Hours Required],C$3 +$A12)</f>
        <v>0</v>
      </c>
      <c r="D12" s="57">
        <f t="array" ref="D12">INDEX(ProjectTable[Hours Required],D$3 +$A12)</f>
        <v>0</v>
      </c>
      <c r="E12" s="57">
        <f t="array" ref="E12">INDEX(ProjectTable[Hours Required],E$3 +$A12)</f>
        <v>0</v>
      </c>
      <c r="F12" s="57">
        <f t="array" ref="F12">INDEX(ProjectTable[Hours Required],F$3 +$A12)</f>
        <v>0</v>
      </c>
      <c r="G12" s="57">
        <f t="array" ref="G12">INDEX(ProjectTable[Hours Required],G$3 +$A12)</f>
        <v>0</v>
      </c>
      <c r="H12" s="57">
        <f t="array" ref="H12">INDEX(ProjectTable[Hours Required],H$3 +$A12)</f>
        <v>0</v>
      </c>
      <c r="I12" s="57">
        <f t="array" ref="I12">INDEX(ProjectTable[Hours Required],I$3 +$A12)</f>
        <v>5</v>
      </c>
      <c r="J12" s="57">
        <f t="array" ref="J12">INDEX(ProjectTable[Hours Required],J$3 +$A12)</f>
        <v>6</v>
      </c>
      <c r="K12" s="57">
        <f t="array" ref="K12">INDEX(ProjectTable[Hours Required],K$3 +$A12)</f>
        <v>6</v>
      </c>
      <c r="L12" s="57">
        <f t="array" ref="L12">INDEX(ProjectTable[Hours Required],L$3 +$A12)</f>
        <v>7</v>
      </c>
      <c r="M12" s="57">
        <f t="array" ref="M12">INDEX(ProjectTable[Hours Required],M$3 +$A12)</f>
        <v>7</v>
      </c>
      <c r="N12" s="57">
        <f t="array" ref="N12">INDEX(ProjectTable[Hours Required],N$3 +$A12)</f>
        <v>8</v>
      </c>
      <c r="O12" s="57">
        <f t="array" ref="O12">INDEX(ProjectTable[Hours Required],O$3 +$A12)</f>
        <v>8</v>
      </c>
      <c r="P12" s="57">
        <f t="array" ref="P12">INDEX(ProjectTable[Hours Required],P$3 +$A12)</f>
        <v>9</v>
      </c>
      <c r="Q12" s="57">
        <f t="array" ref="Q12">INDEX(ProjectTable[Hours Required],Q$3 +$A12)</f>
        <v>9</v>
      </c>
      <c r="R12" s="57">
        <f t="array" ref="R12">INDEX(ProjectTable[Hours Required],R$3 +$A12)</f>
        <v>9</v>
      </c>
      <c r="S12" s="57">
        <f t="array" ref="S12">INDEX(ProjectTable[Hours Required],S$3 +$A12)</f>
        <v>9</v>
      </c>
      <c r="T12" s="57">
        <f t="array" ref="T12">INDEX(ProjectTable[Hours Required],T$3 +$A12)</f>
        <v>9</v>
      </c>
      <c r="U12" s="57">
        <f t="array" ref="U12">INDEX(ProjectTable[Hours Required],U$3 +$A12)</f>
        <v>9</v>
      </c>
      <c r="V12" s="57">
        <f t="array" ref="V12">INDEX(ProjectTable[Hours Required],V$3 +$A12)</f>
        <v>6</v>
      </c>
      <c r="W12" s="57">
        <f t="array" ref="W12">INDEX(ProjectTable[Hours Required],W$3 +$A12)</f>
        <v>6</v>
      </c>
      <c r="X12" s="57">
        <f t="array" ref="X12">INDEX(ProjectTable[Hours Required],X$3 +$A12)</f>
        <v>6</v>
      </c>
      <c r="Y12" s="57">
        <f t="array" ref="Y12">INDEX(ProjectTable[Hours Required],Y$3 +$A12)</f>
        <v>6</v>
      </c>
      <c r="Z12" s="57">
        <f t="array" ref="Z12">INDEX(ProjectTable[Hours Required],Z$3 +$A12)</f>
        <v>6</v>
      </c>
      <c r="AA12" s="57">
        <f t="array" ref="AA12">INDEX(ProjectTable[Hours Required],AA$3 +$A12)</f>
        <v>0</v>
      </c>
      <c r="AB12" s="57">
        <f t="array" ref="AB12">INDEX(ProjectTable[Hours Required],AB$3 +$A12)</f>
        <v>0</v>
      </c>
      <c r="AC12" s="57">
        <f t="array" ref="AC12">INDEX(ProjectTable[Hours Required],AC$3 +$A12)</f>
        <v>0</v>
      </c>
      <c r="AD12" s="57">
        <f t="array" ref="AD12">INDEX(ProjectTable[Hours Required],AD$3 +$A12)</f>
        <v>0</v>
      </c>
      <c r="AE12" s="57">
        <f t="array" ref="AE12">INDEX(ProjectTable[Hours Required],AE$3 +$A12)</f>
        <v>0</v>
      </c>
      <c r="AF12" s="57">
        <f t="array" ref="AF12">INDEX(ProjectTable[Hours Required],AF$3 +$A12)</f>
        <v>0</v>
      </c>
      <c r="AI12" s="20"/>
      <c r="AJ12" s="19"/>
    </row>
    <row r="13" spans="1:36" x14ac:dyDescent="0.25">
      <c r="A13">
        <v>270</v>
      </c>
      <c r="B13" t="s">
        <v>11</v>
      </c>
      <c r="C13" s="57">
        <f t="array" ref="C13">INDEX(ProjectTable[Hours Required],C$3 +$A13)</f>
        <v>0</v>
      </c>
      <c r="D13" s="57">
        <f t="array" ref="D13">INDEX(ProjectTable[Hours Required],D$3 +$A13)</f>
        <v>0</v>
      </c>
      <c r="E13" s="57">
        <f t="array" ref="E13">INDEX(ProjectTable[Hours Required],E$3 +$A13)</f>
        <v>0</v>
      </c>
      <c r="F13" s="57">
        <f t="array" ref="F13">INDEX(ProjectTable[Hours Required],F$3 +$A13)</f>
        <v>0</v>
      </c>
      <c r="G13" s="57">
        <f t="array" ref="G13">INDEX(ProjectTable[Hours Required],G$3 +$A13)</f>
        <v>0</v>
      </c>
      <c r="H13" s="57">
        <f t="array" ref="H13">INDEX(ProjectTable[Hours Required],H$3 +$A13)</f>
        <v>0</v>
      </c>
      <c r="I13" s="57">
        <f t="array" ref="I13">INDEX(ProjectTable[Hours Required],I$3 +$A13)</f>
        <v>5</v>
      </c>
      <c r="J13" s="57">
        <f t="array" ref="J13">INDEX(ProjectTable[Hours Required],J$3 +$A13)</f>
        <v>6</v>
      </c>
      <c r="K13" s="57">
        <f t="array" ref="K13">INDEX(ProjectTable[Hours Required],K$3 +$A13)</f>
        <v>6</v>
      </c>
      <c r="L13" s="57">
        <f t="array" ref="L13">INDEX(ProjectTable[Hours Required],L$3 +$A13)</f>
        <v>7</v>
      </c>
      <c r="M13" s="57">
        <f t="array" ref="M13">INDEX(ProjectTable[Hours Required],M$3 +$A13)</f>
        <v>7</v>
      </c>
      <c r="N13" s="57">
        <f t="array" ref="N13">INDEX(ProjectTable[Hours Required],N$3 +$A13)</f>
        <v>8</v>
      </c>
      <c r="O13" s="57">
        <f t="array" ref="O13">INDEX(ProjectTable[Hours Required],O$3 +$A13)</f>
        <v>8</v>
      </c>
      <c r="P13" s="57">
        <f t="array" ref="P13">INDEX(ProjectTable[Hours Required],P$3 +$A13)</f>
        <v>9</v>
      </c>
      <c r="Q13" s="57">
        <f t="array" ref="Q13">INDEX(ProjectTable[Hours Required],Q$3 +$A13)</f>
        <v>9</v>
      </c>
      <c r="R13" s="57">
        <f t="array" ref="R13">INDEX(ProjectTable[Hours Required],R$3 +$A13)</f>
        <v>0</v>
      </c>
      <c r="S13" s="57">
        <f t="array" ref="S13">INDEX(ProjectTable[Hours Required],S$3 +$A13)</f>
        <v>0</v>
      </c>
      <c r="T13" s="57">
        <f t="array" ref="T13">INDEX(ProjectTable[Hours Required],T$3 +$A13)</f>
        <v>0</v>
      </c>
      <c r="U13" s="57">
        <f t="array" ref="U13">INDEX(ProjectTable[Hours Required],U$3 +$A13)</f>
        <v>0</v>
      </c>
      <c r="V13" s="57">
        <f t="array" ref="V13">INDEX(ProjectTable[Hours Required],V$3 +$A13)</f>
        <v>0</v>
      </c>
      <c r="W13" s="57">
        <f t="array" ref="W13">INDEX(ProjectTable[Hours Required],W$3 +$A13)</f>
        <v>0</v>
      </c>
      <c r="X13" s="57">
        <f t="array" ref="X13">INDEX(ProjectTable[Hours Required],X$3 +$A13)</f>
        <v>0</v>
      </c>
      <c r="Y13" s="57">
        <f t="array" ref="Y13">INDEX(ProjectTable[Hours Required],Y$3 +$A13)</f>
        <v>0</v>
      </c>
      <c r="Z13" s="57">
        <f t="array" ref="Z13">INDEX(ProjectTable[Hours Required],Z$3 +$A13)</f>
        <v>0</v>
      </c>
      <c r="AA13" s="57">
        <f t="array" ref="AA13">INDEX(ProjectTable[Hours Required],AA$3 +$A13)</f>
        <v>0</v>
      </c>
      <c r="AB13" s="57">
        <f t="array" ref="AB13">INDEX(ProjectTable[Hours Required],AB$3 +$A13)</f>
        <v>0</v>
      </c>
      <c r="AC13" s="57">
        <f t="array" ref="AC13">INDEX(ProjectTable[Hours Required],AC$3 +$A13)</f>
        <v>0</v>
      </c>
      <c r="AD13" s="57">
        <f t="array" ref="AD13">INDEX(ProjectTable[Hours Required],AD$3 +$A13)</f>
        <v>0</v>
      </c>
      <c r="AE13" s="57">
        <f t="array" ref="AE13">INDEX(ProjectTable[Hours Required],AE$3 +$A13)</f>
        <v>0</v>
      </c>
      <c r="AF13" s="57">
        <f t="array" ref="AF13">INDEX(ProjectTable[Hours Required],AF$3 +$A13)</f>
        <v>0</v>
      </c>
      <c r="AI13" s="20"/>
      <c r="AJ13" s="19"/>
    </row>
    <row r="14" spans="1:36" x14ac:dyDescent="0.25">
      <c r="A14">
        <v>300</v>
      </c>
      <c r="B14" t="s">
        <v>12</v>
      </c>
      <c r="C14" s="57">
        <f t="array" ref="C14">INDEX(ProjectTable[Hours Required],C$3 +$A14)</f>
        <v>0</v>
      </c>
      <c r="D14" s="57">
        <f t="array" ref="D14">INDEX(ProjectTable[Hours Required],D$3 +$A14)</f>
        <v>0</v>
      </c>
      <c r="E14" s="57">
        <f t="array" ref="E14">INDEX(ProjectTable[Hours Required],E$3 +$A14)</f>
        <v>0</v>
      </c>
      <c r="F14" s="57">
        <f t="array" ref="F14">INDEX(ProjectTable[Hours Required],F$3 +$A14)</f>
        <v>0</v>
      </c>
      <c r="G14" s="57">
        <f t="array" ref="G14">INDEX(ProjectTable[Hours Required],G$3 +$A14)</f>
        <v>0</v>
      </c>
      <c r="H14" s="57">
        <f t="array" ref="H14">INDEX(ProjectTable[Hours Required],H$3 +$A14)</f>
        <v>0</v>
      </c>
      <c r="I14" s="57">
        <f t="array" ref="I14">INDEX(ProjectTable[Hours Required],I$3 +$A14)</f>
        <v>5</v>
      </c>
      <c r="J14" s="57">
        <f t="array" ref="J14">INDEX(ProjectTable[Hours Required],J$3 +$A14)</f>
        <v>6</v>
      </c>
      <c r="K14" s="57">
        <f t="array" ref="K14">INDEX(ProjectTable[Hours Required],K$3 +$A14)</f>
        <v>6</v>
      </c>
      <c r="L14" s="57">
        <f t="array" ref="L14">INDEX(ProjectTable[Hours Required],L$3 +$A14)</f>
        <v>5</v>
      </c>
      <c r="M14" s="57">
        <f t="array" ref="M14">INDEX(ProjectTable[Hours Required],M$3 +$A14)</f>
        <v>4</v>
      </c>
      <c r="N14" s="57">
        <f t="array" ref="N14">INDEX(ProjectTable[Hours Required],N$3 +$A14)</f>
        <v>3</v>
      </c>
      <c r="O14" s="57">
        <f t="array" ref="O14">INDEX(ProjectTable[Hours Required],O$3 +$A14)</f>
        <v>0</v>
      </c>
      <c r="P14" s="57">
        <f t="array" ref="P14">INDEX(ProjectTable[Hours Required],P$3 +$A14)</f>
        <v>0</v>
      </c>
      <c r="Q14" s="57">
        <f t="array" ref="Q14">INDEX(ProjectTable[Hours Required],Q$3 +$A14)</f>
        <v>0</v>
      </c>
      <c r="R14" s="57">
        <f t="array" ref="R14">INDEX(ProjectTable[Hours Required],R$3 +$A14)</f>
        <v>0</v>
      </c>
      <c r="S14" s="57">
        <f t="array" ref="S14">INDEX(ProjectTable[Hours Required],S$3 +$A14)</f>
        <v>0</v>
      </c>
      <c r="T14" s="57">
        <f t="array" ref="T14">INDEX(ProjectTable[Hours Required],T$3 +$A14)</f>
        <v>0</v>
      </c>
      <c r="U14" s="57">
        <f t="array" ref="U14">INDEX(ProjectTable[Hours Required],U$3 +$A14)</f>
        <v>0</v>
      </c>
      <c r="V14" s="57">
        <f t="array" ref="V14">INDEX(ProjectTable[Hours Required],V$3 +$A14)</f>
        <v>0</v>
      </c>
      <c r="W14" s="57">
        <f t="array" ref="W14">INDEX(ProjectTable[Hours Required],W$3 +$A14)</f>
        <v>0</v>
      </c>
      <c r="X14" s="57">
        <f t="array" ref="X14">INDEX(ProjectTable[Hours Required],X$3 +$A14)</f>
        <v>0</v>
      </c>
      <c r="Y14" s="57">
        <f t="array" ref="Y14">INDEX(ProjectTable[Hours Required],Y$3 +$A14)</f>
        <v>0</v>
      </c>
      <c r="Z14" s="57">
        <f t="array" ref="Z14">INDEX(ProjectTable[Hours Required],Z$3 +$A14)</f>
        <v>0</v>
      </c>
      <c r="AA14" s="57">
        <f t="array" ref="AA14">INDEX(ProjectTable[Hours Required],AA$3 +$A14)</f>
        <v>0</v>
      </c>
      <c r="AB14" s="57">
        <f t="array" ref="AB14">INDEX(ProjectTable[Hours Required],AB$3 +$A14)</f>
        <v>0</v>
      </c>
      <c r="AC14" s="57">
        <f t="array" ref="AC14">INDEX(ProjectTable[Hours Required],AC$3 +$A14)</f>
        <v>0</v>
      </c>
      <c r="AD14" s="57">
        <f t="array" ref="AD14">INDEX(ProjectTable[Hours Required],AD$3 +$A14)</f>
        <v>0</v>
      </c>
      <c r="AE14" s="57">
        <f t="array" ref="AE14">INDEX(ProjectTable[Hours Required],AE$3 +$A14)</f>
        <v>0</v>
      </c>
      <c r="AF14" s="57">
        <f t="array" ref="AF14">INDEX(ProjectTable[Hours Required],AF$3 +$A14)</f>
        <v>0</v>
      </c>
      <c r="AI14" s="20"/>
      <c r="AJ14" s="19"/>
    </row>
    <row r="15" spans="1:36" x14ac:dyDescent="0.25">
      <c r="A15">
        <v>330</v>
      </c>
      <c r="B15" t="s">
        <v>13</v>
      </c>
      <c r="C15" s="57">
        <f t="array" ref="C15">INDEX(ProjectTable[Hours Required],C$3 +$A15)</f>
        <v>0</v>
      </c>
      <c r="D15" s="57">
        <f t="array" ref="D15">INDEX(ProjectTable[Hours Required],D$3 +$A15)</f>
        <v>0</v>
      </c>
      <c r="E15" s="57">
        <f t="array" ref="E15">INDEX(ProjectTable[Hours Required],E$3 +$A15)</f>
        <v>0</v>
      </c>
      <c r="F15" s="57">
        <f t="array" ref="F15">INDEX(ProjectTable[Hours Required],F$3 +$A15)</f>
        <v>0</v>
      </c>
      <c r="G15" s="57">
        <f t="array" ref="G15">INDEX(ProjectTable[Hours Required],G$3 +$A15)</f>
        <v>0</v>
      </c>
      <c r="H15" s="57">
        <f t="array" ref="H15">INDEX(ProjectTable[Hours Required],H$3 +$A15)</f>
        <v>0</v>
      </c>
      <c r="I15" s="57">
        <f t="array" ref="I15">INDEX(ProjectTable[Hours Required],I$3 +$A15)</f>
        <v>0</v>
      </c>
      <c r="J15" s="57">
        <f t="array" ref="J15">INDEX(ProjectTable[Hours Required],J$3 +$A15)</f>
        <v>7</v>
      </c>
      <c r="K15" s="57">
        <f t="array" ref="K15">INDEX(ProjectTable[Hours Required],K$3 +$A15)</f>
        <v>7</v>
      </c>
      <c r="L15" s="57">
        <f t="array" ref="L15">INDEX(ProjectTable[Hours Required],L$3 +$A15)</f>
        <v>6</v>
      </c>
      <c r="M15" s="57">
        <f t="array" ref="M15">INDEX(ProjectTable[Hours Required],M$3 +$A15)</f>
        <v>6</v>
      </c>
      <c r="N15" s="57">
        <f t="array" ref="N15">INDEX(ProjectTable[Hours Required],N$3 +$A15)</f>
        <v>5</v>
      </c>
      <c r="O15" s="57">
        <f t="array" ref="O15">INDEX(ProjectTable[Hours Required],O$3 +$A15)</f>
        <v>4</v>
      </c>
      <c r="P15" s="57">
        <f t="array" ref="P15">INDEX(ProjectTable[Hours Required],P$3 +$A15)</f>
        <v>3</v>
      </c>
      <c r="Q15" s="57">
        <f t="array" ref="Q15">INDEX(ProjectTable[Hours Required],Q$3 +$A15)</f>
        <v>2</v>
      </c>
      <c r="R15" s="57">
        <f t="array" ref="R15">INDEX(ProjectTable[Hours Required],R$3 +$A15)</f>
        <v>0</v>
      </c>
      <c r="S15" s="57">
        <f t="array" ref="S15">INDEX(ProjectTable[Hours Required],S$3 +$A15)</f>
        <v>0</v>
      </c>
      <c r="T15" s="57">
        <f t="array" ref="T15">INDEX(ProjectTable[Hours Required],T$3 +$A15)</f>
        <v>0</v>
      </c>
      <c r="U15" s="57">
        <f t="array" ref="U15">INDEX(ProjectTable[Hours Required],U$3 +$A15)</f>
        <v>0</v>
      </c>
      <c r="V15" s="57">
        <f t="array" ref="V15">INDEX(ProjectTable[Hours Required],V$3 +$A15)</f>
        <v>0</v>
      </c>
      <c r="W15" s="57">
        <f t="array" ref="W15">INDEX(ProjectTable[Hours Required],W$3 +$A15)</f>
        <v>0</v>
      </c>
      <c r="X15" s="57">
        <f t="array" ref="X15">INDEX(ProjectTable[Hours Required],X$3 +$A15)</f>
        <v>0</v>
      </c>
      <c r="Y15" s="57">
        <f t="array" ref="Y15">INDEX(ProjectTable[Hours Required],Y$3 +$A15)</f>
        <v>0</v>
      </c>
      <c r="Z15" s="57">
        <f t="array" ref="Z15">INDEX(ProjectTable[Hours Required],Z$3 +$A15)</f>
        <v>0</v>
      </c>
      <c r="AA15" s="57">
        <f t="array" ref="AA15">INDEX(ProjectTable[Hours Required],AA$3 +$A15)</f>
        <v>0</v>
      </c>
      <c r="AB15" s="57">
        <f t="array" ref="AB15">INDEX(ProjectTable[Hours Required],AB$3 +$A15)</f>
        <v>0</v>
      </c>
      <c r="AC15" s="57">
        <f t="array" ref="AC15">INDEX(ProjectTable[Hours Required],AC$3 +$A15)</f>
        <v>0</v>
      </c>
      <c r="AD15" s="57">
        <f t="array" ref="AD15">INDEX(ProjectTable[Hours Required],AD$3 +$A15)</f>
        <v>0</v>
      </c>
      <c r="AE15" s="57">
        <f t="array" ref="AE15">INDEX(ProjectTable[Hours Required],AE$3 +$A15)</f>
        <v>0</v>
      </c>
      <c r="AF15" s="57">
        <f t="array" ref="AF15">INDEX(ProjectTable[Hours Required],AF$3 +$A15)</f>
        <v>0</v>
      </c>
      <c r="AI15" s="20"/>
      <c r="AJ15" s="19"/>
    </row>
    <row r="16" spans="1:36" x14ac:dyDescent="0.25">
      <c r="A16">
        <v>360</v>
      </c>
      <c r="B16" t="s">
        <v>14</v>
      </c>
      <c r="C16" s="57">
        <f t="array" ref="C16">INDEX(ProjectTable[Hours Required],C$3 +$A16)</f>
        <v>0</v>
      </c>
      <c r="D16" s="57">
        <f t="array" ref="D16">INDEX(ProjectTable[Hours Required],D$3 +$A16)</f>
        <v>0</v>
      </c>
      <c r="E16" s="57">
        <f t="array" ref="E16">INDEX(ProjectTable[Hours Required],E$3 +$A16)</f>
        <v>0</v>
      </c>
      <c r="F16" s="57">
        <f t="array" ref="F16">INDEX(ProjectTable[Hours Required],F$3 +$A16)</f>
        <v>0</v>
      </c>
      <c r="G16" s="57">
        <f t="array" ref="G16">INDEX(ProjectTable[Hours Required],G$3 +$A16)</f>
        <v>0</v>
      </c>
      <c r="H16" s="57">
        <f t="array" ref="H16">INDEX(ProjectTable[Hours Required],H$3 +$A16)</f>
        <v>0</v>
      </c>
      <c r="I16" s="57">
        <f t="array" ref="I16">INDEX(ProjectTable[Hours Required],I$3 +$A16)</f>
        <v>0</v>
      </c>
      <c r="J16" s="57">
        <f t="array" ref="J16">INDEX(ProjectTable[Hours Required],J$3 +$A16)</f>
        <v>0</v>
      </c>
      <c r="K16" s="57">
        <f t="array" ref="K16">INDEX(ProjectTable[Hours Required],K$3 +$A16)</f>
        <v>6</v>
      </c>
      <c r="L16" s="57">
        <f t="array" ref="L16">INDEX(ProjectTable[Hours Required],L$3 +$A16)</f>
        <v>6</v>
      </c>
      <c r="M16" s="57">
        <f t="array" ref="M16">INDEX(ProjectTable[Hours Required],M$3 +$A16)</f>
        <v>7</v>
      </c>
      <c r="N16" s="57">
        <f t="array" ref="N16">INDEX(ProjectTable[Hours Required],N$3 +$A16)</f>
        <v>7</v>
      </c>
      <c r="O16" s="57">
        <f t="array" ref="O16">INDEX(ProjectTable[Hours Required],O$3 +$A16)</f>
        <v>8</v>
      </c>
      <c r="P16" s="57">
        <f t="array" ref="P16">INDEX(ProjectTable[Hours Required],P$3 +$A16)</f>
        <v>8</v>
      </c>
      <c r="Q16" s="57">
        <f t="array" ref="Q16">INDEX(ProjectTable[Hours Required],Q$3 +$A16)</f>
        <v>9</v>
      </c>
      <c r="R16" s="57">
        <f t="array" ref="R16">INDEX(ProjectTable[Hours Required],R$3 +$A16)</f>
        <v>9</v>
      </c>
      <c r="S16" s="57">
        <f t="array" ref="S16">INDEX(ProjectTable[Hours Required],S$3 +$A16)</f>
        <v>9</v>
      </c>
      <c r="T16" s="57">
        <f t="array" ref="T16">INDEX(ProjectTable[Hours Required],T$3 +$A16)</f>
        <v>9</v>
      </c>
      <c r="U16" s="57">
        <f t="array" ref="U16">INDEX(ProjectTable[Hours Required],U$3 +$A16)</f>
        <v>9</v>
      </c>
      <c r="V16" s="57">
        <f t="array" ref="V16">INDEX(ProjectTable[Hours Required],V$3 +$A16)</f>
        <v>9</v>
      </c>
      <c r="W16" s="57">
        <f t="array" ref="W16">INDEX(ProjectTable[Hours Required],W$3 +$A16)</f>
        <v>6</v>
      </c>
      <c r="X16" s="57">
        <f t="array" ref="X16">INDEX(ProjectTable[Hours Required],X$3 +$A16)</f>
        <v>6</v>
      </c>
      <c r="Y16" s="57">
        <f t="array" ref="Y16">INDEX(ProjectTable[Hours Required],Y$3 +$A16)</f>
        <v>6</v>
      </c>
      <c r="Z16" s="57">
        <f t="array" ref="Z16">INDEX(ProjectTable[Hours Required],Z$3 +$A16)</f>
        <v>6</v>
      </c>
      <c r="AA16" s="57">
        <f t="array" ref="AA16">INDEX(ProjectTable[Hours Required],AA$3 +$A16)</f>
        <v>6</v>
      </c>
      <c r="AB16" s="57">
        <f t="array" ref="AB16">INDEX(ProjectTable[Hours Required],AB$3 +$A16)</f>
        <v>0</v>
      </c>
      <c r="AC16" s="57">
        <f t="array" ref="AC16">INDEX(ProjectTable[Hours Required],AC$3 +$A16)</f>
        <v>0</v>
      </c>
      <c r="AD16" s="57">
        <f t="array" ref="AD16">INDEX(ProjectTable[Hours Required],AD$3 +$A16)</f>
        <v>0</v>
      </c>
      <c r="AE16" s="57">
        <f t="array" ref="AE16">INDEX(ProjectTable[Hours Required],AE$3 +$A16)</f>
        <v>0</v>
      </c>
      <c r="AF16" s="57">
        <f t="array" ref="AF16">INDEX(ProjectTable[Hours Required],AF$3 +$A16)</f>
        <v>0</v>
      </c>
      <c r="AI16" s="20"/>
      <c r="AJ16" s="19"/>
    </row>
    <row r="17" spans="1:36" x14ac:dyDescent="0.25">
      <c r="A17">
        <v>390</v>
      </c>
      <c r="B17" t="s">
        <v>15</v>
      </c>
      <c r="C17" s="57">
        <f t="array" ref="C17">INDEX(ProjectTable[Hours Required],C$3 +$A17)</f>
        <v>0</v>
      </c>
      <c r="D17" s="57">
        <f t="array" ref="D17">INDEX(ProjectTable[Hours Required],D$3 +$A17)</f>
        <v>0</v>
      </c>
      <c r="E17" s="57">
        <f t="array" ref="E17">INDEX(ProjectTable[Hours Required],E$3 +$A17)</f>
        <v>0</v>
      </c>
      <c r="F17" s="57">
        <f t="array" ref="F17">INDEX(ProjectTable[Hours Required],F$3 +$A17)</f>
        <v>0</v>
      </c>
      <c r="G17" s="57">
        <f t="array" ref="G17">INDEX(ProjectTable[Hours Required],G$3 +$A17)</f>
        <v>0</v>
      </c>
      <c r="H17" s="57">
        <f t="array" ref="H17">INDEX(ProjectTable[Hours Required],H$3 +$A17)</f>
        <v>0</v>
      </c>
      <c r="I17" s="57">
        <f t="array" ref="I17">INDEX(ProjectTable[Hours Required],I$3 +$A17)</f>
        <v>0</v>
      </c>
      <c r="J17" s="57">
        <f t="array" ref="J17">INDEX(ProjectTable[Hours Required],J$3 +$A17)</f>
        <v>0</v>
      </c>
      <c r="K17" s="57">
        <f t="array" ref="K17">INDEX(ProjectTable[Hours Required],K$3 +$A17)</f>
        <v>5</v>
      </c>
      <c r="L17" s="57">
        <f t="array" ref="L17">INDEX(ProjectTable[Hours Required],L$3 +$A17)</f>
        <v>6</v>
      </c>
      <c r="M17" s="57">
        <f t="array" ref="M17">INDEX(ProjectTable[Hours Required],M$3 +$A17)</f>
        <v>6</v>
      </c>
      <c r="N17" s="57">
        <f t="array" ref="N17">INDEX(ProjectTable[Hours Required],N$3 +$A17)</f>
        <v>6</v>
      </c>
      <c r="O17" s="57">
        <f t="array" ref="O17">INDEX(ProjectTable[Hours Required],O$3 +$A17)</f>
        <v>7</v>
      </c>
      <c r="P17" s="57">
        <f t="array" ref="P17">INDEX(ProjectTable[Hours Required],P$3 +$A17)</f>
        <v>7</v>
      </c>
      <c r="Q17" s="57">
        <f t="array" ref="Q17">INDEX(ProjectTable[Hours Required],Q$3 +$A17)</f>
        <v>10</v>
      </c>
      <c r="R17" s="57">
        <f t="array" ref="R17">INDEX(ProjectTable[Hours Required],R$3 +$A17)</f>
        <v>10</v>
      </c>
      <c r="S17" s="57">
        <f t="array" ref="S17">INDEX(ProjectTable[Hours Required],S$3 +$A17)</f>
        <v>10</v>
      </c>
      <c r="T17" s="57">
        <f t="array" ref="T17">INDEX(ProjectTable[Hours Required],T$3 +$A17)</f>
        <v>10</v>
      </c>
      <c r="U17" s="57">
        <f t="array" ref="U17">INDEX(ProjectTable[Hours Required],U$3 +$A17)</f>
        <v>0</v>
      </c>
      <c r="V17" s="57">
        <f t="array" ref="V17">INDEX(ProjectTable[Hours Required],V$3 +$A17)</f>
        <v>0</v>
      </c>
      <c r="W17" s="57">
        <f t="array" ref="W17">INDEX(ProjectTable[Hours Required],W$3 +$A17)</f>
        <v>0</v>
      </c>
      <c r="X17" s="57">
        <f t="array" ref="X17">INDEX(ProjectTable[Hours Required],X$3 +$A17)</f>
        <v>0</v>
      </c>
      <c r="Y17" s="57">
        <f t="array" ref="Y17">INDEX(ProjectTable[Hours Required],Y$3 +$A17)</f>
        <v>0</v>
      </c>
      <c r="Z17" s="57">
        <f t="array" ref="Z17">INDEX(ProjectTable[Hours Required],Z$3 +$A17)</f>
        <v>0</v>
      </c>
      <c r="AA17" s="57">
        <f t="array" ref="AA17">INDEX(ProjectTable[Hours Required],AA$3 +$A17)</f>
        <v>0</v>
      </c>
      <c r="AB17" s="57">
        <f t="array" ref="AB17">INDEX(ProjectTable[Hours Required],AB$3 +$A17)</f>
        <v>0</v>
      </c>
      <c r="AC17" s="57">
        <f t="array" ref="AC17">INDEX(ProjectTable[Hours Required],AC$3 +$A17)</f>
        <v>0</v>
      </c>
      <c r="AD17" s="57">
        <f t="array" ref="AD17">INDEX(ProjectTable[Hours Required],AD$3 +$A17)</f>
        <v>0</v>
      </c>
      <c r="AE17" s="57">
        <f t="array" ref="AE17">INDEX(ProjectTable[Hours Required],AE$3 +$A17)</f>
        <v>0</v>
      </c>
      <c r="AF17" s="57">
        <f t="array" ref="AF17">INDEX(ProjectTable[Hours Required],AF$3 +$A17)</f>
        <v>0</v>
      </c>
      <c r="AI17" s="20"/>
      <c r="AJ17" s="19"/>
    </row>
    <row r="18" spans="1:36" x14ac:dyDescent="0.25">
      <c r="A18">
        <v>420</v>
      </c>
      <c r="B18" t="s">
        <v>16</v>
      </c>
      <c r="C18" s="57">
        <f t="array" ref="C18">INDEX(ProjectTable[Hours Required],C$3 +$A18)</f>
        <v>0</v>
      </c>
      <c r="D18" s="57">
        <f t="array" ref="D18">INDEX(ProjectTable[Hours Required],D$3 +$A18)</f>
        <v>0</v>
      </c>
      <c r="E18" s="57">
        <f t="array" ref="E18">INDEX(ProjectTable[Hours Required],E$3 +$A18)</f>
        <v>0</v>
      </c>
      <c r="F18" s="57">
        <f t="array" ref="F18">INDEX(ProjectTable[Hours Required],F$3 +$A18)</f>
        <v>0</v>
      </c>
      <c r="G18" s="57">
        <f t="array" ref="G18">INDEX(ProjectTable[Hours Required],G$3 +$A18)</f>
        <v>0</v>
      </c>
      <c r="H18" s="57">
        <f t="array" ref="H18">INDEX(ProjectTable[Hours Required],H$3 +$A18)</f>
        <v>0</v>
      </c>
      <c r="I18" s="57">
        <f t="array" ref="I18">INDEX(ProjectTable[Hours Required],I$3 +$A18)</f>
        <v>0</v>
      </c>
      <c r="J18" s="57">
        <f t="array" ref="J18">INDEX(ProjectTable[Hours Required],J$3 +$A18)</f>
        <v>0</v>
      </c>
      <c r="K18" s="57">
        <f t="array" ref="K18">INDEX(ProjectTable[Hours Required],K$3 +$A18)</f>
        <v>7</v>
      </c>
      <c r="L18" s="57">
        <f t="array" ref="L18">INDEX(ProjectTable[Hours Required],L$3 +$A18)</f>
        <v>7</v>
      </c>
      <c r="M18" s="57">
        <f t="array" ref="M18">INDEX(ProjectTable[Hours Required],M$3 +$A18)</f>
        <v>6</v>
      </c>
      <c r="N18" s="57">
        <f t="array" ref="N18">INDEX(ProjectTable[Hours Required],N$3 +$A18)</f>
        <v>6</v>
      </c>
      <c r="O18" s="57">
        <f t="array" ref="O18">INDEX(ProjectTable[Hours Required],O$3 +$A18)</f>
        <v>5</v>
      </c>
      <c r="P18" s="57">
        <f t="array" ref="P18">INDEX(ProjectTable[Hours Required],P$3 +$A18)</f>
        <v>4</v>
      </c>
      <c r="Q18" s="57">
        <f t="array" ref="Q18">INDEX(ProjectTable[Hours Required],Q$3 +$A18)</f>
        <v>3</v>
      </c>
      <c r="R18" s="57">
        <f t="array" ref="R18">INDEX(ProjectTable[Hours Required],R$3 +$A18)</f>
        <v>2</v>
      </c>
      <c r="S18" s="57">
        <f t="array" ref="S18">INDEX(ProjectTable[Hours Required],S$3 +$A18)</f>
        <v>1</v>
      </c>
      <c r="T18" s="57">
        <f t="array" ref="T18">INDEX(ProjectTable[Hours Required],T$3 +$A18)</f>
        <v>0</v>
      </c>
      <c r="U18" s="57">
        <f t="array" ref="U18">INDEX(ProjectTable[Hours Required],U$3 +$A18)</f>
        <v>0</v>
      </c>
      <c r="V18" s="57">
        <f t="array" ref="V18">INDEX(ProjectTable[Hours Required],V$3 +$A18)</f>
        <v>0</v>
      </c>
      <c r="W18" s="57">
        <f t="array" ref="W18">INDEX(ProjectTable[Hours Required],W$3 +$A18)</f>
        <v>0</v>
      </c>
      <c r="X18" s="57">
        <f t="array" ref="X18">INDEX(ProjectTable[Hours Required],X$3 +$A18)</f>
        <v>0</v>
      </c>
      <c r="Y18" s="57">
        <f t="array" ref="Y18">INDEX(ProjectTable[Hours Required],Y$3 +$A18)</f>
        <v>0</v>
      </c>
      <c r="Z18" s="57">
        <f t="array" ref="Z18">INDEX(ProjectTable[Hours Required],Z$3 +$A18)</f>
        <v>0</v>
      </c>
      <c r="AA18" s="57">
        <f t="array" ref="AA18">INDEX(ProjectTable[Hours Required],AA$3 +$A18)</f>
        <v>0</v>
      </c>
      <c r="AB18" s="57">
        <f t="array" ref="AB18">INDEX(ProjectTable[Hours Required],AB$3 +$A18)</f>
        <v>0</v>
      </c>
      <c r="AC18" s="57">
        <f t="array" ref="AC18">INDEX(ProjectTable[Hours Required],AC$3 +$A18)</f>
        <v>0</v>
      </c>
      <c r="AD18" s="57">
        <f t="array" ref="AD18">INDEX(ProjectTable[Hours Required],AD$3 +$A18)</f>
        <v>0</v>
      </c>
      <c r="AE18" s="57">
        <f t="array" ref="AE18">INDEX(ProjectTable[Hours Required],AE$3 +$A18)</f>
        <v>0</v>
      </c>
      <c r="AF18" s="57">
        <f t="array" ref="AF18">INDEX(ProjectTable[Hours Required],AF$3 +$A18)</f>
        <v>0</v>
      </c>
      <c r="AI18" s="20"/>
      <c r="AJ18" s="19"/>
    </row>
    <row r="19" spans="1:36" x14ac:dyDescent="0.25">
      <c r="A19">
        <v>450</v>
      </c>
      <c r="B19" t="s">
        <v>17</v>
      </c>
      <c r="C19" s="57">
        <f t="array" ref="C19">INDEX(ProjectTable[Hours Required],C$3 +$A19)</f>
        <v>0</v>
      </c>
      <c r="D19" s="57">
        <f t="array" ref="D19">INDEX(ProjectTable[Hours Required],D$3 +$A19)</f>
        <v>0</v>
      </c>
      <c r="E19" s="57">
        <f t="array" ref="E19">INDEX(ProjectTable[Hours Required],E$3 +$A19)</f>
        <v>0</v>
      </c>
      <c r="F19" s="57">
        <f t="array" ref="F19">INDEX(ProjectTable[Hours Required],F$3 +$A19)</f>
        <v>0</v>
      </c>
      <c r="G19" s="57">
        <f t="array" ref="G19">INDEX(ProjectTable[Hours Required],G$3 +$A19)</f>
        <v>0</v>
      </c>
      <c r="H19" s="57">
        <f t="array" ref="H19">INDEX(ProjectTable[Hours Required],H$3 +$A19)</f>
        <v>0</v>
      </c>
      <c r="I19" s="57">
        <f t="array" ref="I19">INDEX(ProjectTable[Hours Required],I$3 +$A19)</f>
        <v>0</v>
      </c>
      <c r="J19" s="57">
        <f t="array" ref="J19">INDEX(ProjectTable[Hours Required],J$3 +$A19)</f>
        <v>0</v>
      </c>
      <c r="K19" s="57">
        <f t="array" ref="K19">INDEX(ProjectTable[Hours Required],K$3 +$A19)</f>
        <v>5</v>
      </c>
      <c r="L19" s="57">
        <f t="array" ref="L19">INDEX(ProjectTable[Hours Required],L$3 +$A19)</f>
        <v>5</v>
      </c>
      <c r="M19" s="57">
        <f t="array" ref="M19">INDEX(ProjectTable[Hours Required],M$3 +$A19)</f>
        <v>4</v>
      </c>
      <c r="N19" s="57">
        <f t="array" ref="N19">INDEX(ProjectTable[Hours Required],N$3 +$A19)</f>
        <v>3</v>
      </c>
      <c r="O19" s="57">
        <f t="array" ref="O19">INDEX(ProjectTable[Hours Required],O$3 +$A19)</f>
        <v>2</v>
      </c>
      <c r="P19" s="57">
        <f t="array" ref="P19">INDEX(ProjectTable[Hours Required],P$3 +$A19)</f>
        <v>0</v>
      </c>
      <c r="Q19" s="57">
        <f t="array" ref="Q19">INDEX(ProjectTable[Hours Required],Q$3 +$A19)</f>
        <v>0</v>
      </c>
      <c r="R19" s="57">
        <f t="array" ref="R19">INDEX(ProjectTable[Hours Required],R$3 +$A19)</f>
        <v>0</v>
      </c>
      <c r="S19" s="57">
        <f t="array" ref="S19">INDEX(ProjectTable[Hours Required],S$3 +$A19)</f>
        <v>0</v>
      </c>
      <c r="T19" s="57">
        <f t="array" ref="T19">INDEX(ProjectTable[Hours Required],T$3 +$A19)</f>
        <v>0</v>
      </c>
      <c r="U19" s="57">
        <f t="array" ref="U19">INDEX(ProjectTable[Hours Required],U$3 +$A19)</f>
        <v>0</v>
      </c>
      <c r="V19" s="57">
        <f t="array" ref="V19">INDEX(ProjectTable[Hours Required],V$3 +$A19)</f>
        <v>0</v>
      </c>
      <c r="W19" s="57">
        <f t="array" ref="W19">INDEX(ProjectTable[Hours Required],W$3 +$A19)</f>
        <v>0</v>
      </c>
      <c r="X19" s="57">
        <f t="array" ref="X19">INDEX(ProjectTable[Hours Required],X$3 +$A19)</f>
        <v>0</v>
      </c>
      <c r="Y19" s="57">
        <f t="array" ref="Y19">INDEX(ProjectTable[Hours Required],Y$3 +$A19)</f>
        <v>0</v>
      </c>
      <c r="Z19" s="57">
        <f t="array" ref="Z19">INDEX(ProjectTable[Hours Required],Z$3 +$A19)</f>
        <v>0</v>
      </c>
      <c r="AA19" s="57">
        <f t="array" ref="AA19">INDEX(ProjectTable[Hours Required],AA$3 +$A19)</f>
        <v>0</v>
      </c>
      <c r="AB19" s="57">
        <f t="array" ref="AB19">INDEX(ProjectTable[Hours Required],AB$3 +$A19)</f>
        <v>0</v>
      </c>
      <c r="AC19" s="57">
        <f t="array" ref="AC19">INDEX(ProjectTable[Hours Required],AC$3 +$A19)</f>
        <v>0</v>
      </c>
      <c r="AD19" s="57">
        <f t="array" ref="AD19">INDEX(ProjectTable[Hours Required],AD$3 +$A19)</f>
        <v>0</v>
      </c>
      <c r="AE19" s="57">
        <f t="array" ref="AE19">INDEX(ProjectTable[Hours Required],AE$3 +$A19)</f>
        <v>0</v>
      </c>
      <c r="AF19" s="57">
        <f t="array" ref="AF19">INDEX(ProjectTable[Hours Required],AF$3 +$A19)</f>
        <v>0</v>
      </c>
      <c r="AI19" s="20"/>
      <c r="AJ19" s="19"/>
    </row>
    <row r="20" spans="1:36" x14ac:dyDescent="0.25">
      <c r="A20">
        <v>480</v>
      </c>
      <c r="B20" t="s">
        <v>18</v>
      </c>
      <c r="C20" s="57">
        <f t="array" ref="C20">INDEX(ProjectTable[Hours Required],C$3 +$A20)</f>
        <v>0</v>
      </c>
      <c r="D20" s="57">
        <f t="array" ref="D20">INDEX(ProjectTable[Hours Required],D$3 +$A20)</f>
        <v>0</v>
      </c>
      <c r="E20" s="57">
        <f t="array" ref="E20">INDEX(ProjectTable[Hours Required],E$3 +$A20)</f>
        <v>0</v>
      </c>
      <c r="F20" s="57">
        <f t="array" ref="F20">INDEX(ProjectTable[Hours Required],F$3 +$A20)</f>
        <v>0</v>
      </c>
      <c r="G20" s="57">
        <f t="array" ref="G20">INDEX(ProjectTable[Hours Required],G$3 +$A20)</f>
        <v>0</v>
      </c>
      <c r="H20" s="57">
        <f t="array" ref="H20">INDEX(ProjectTable[Hours Required],H$3 +$A20)</f>
        <v>0</v>
      </c>
      <c r="I20" s="57">
        <f t="array" ref="I20">INDEX(ProjectTable[Hours Required],I$3 +$A20)</f>
        <v>0</v>
      </c>
      <c r="J20" s="57">
        <f t="array" ref="J20">INDEX(ProjectTable[Hours Required],J$3 +$A20)</f>
        <v>0</v>
      </c>
      <c r="K20" s="57">
        <f t="array" ref="K20">INDEX(ProjectTable[Hours Required],K$3 +$A20)</f>
        <v>5</v>
      </c>
      <c r="L20" s="57">
        <f t="array" ref="L20">INDEX(ProjectTable[Hours Required],L$3 +$A20)</f>
        <v>6</v>
      </c>
      <c r="M20" s="57">
        <f t="array" ref="M20">INDEX(ProjectTable[Hours Required],M$3 +$A20)</f>
        <v>6</v>
      </c>
      <c r="N20" s="57">
        <f t="array" ref="N20">INDEX(ProjectTable[Hours Required],N$3 +$A20)</f>
        <v>7</v>
      </c>
      <c r="O20" s="57">
        <f t="array" ref="O20">INDEX(ProjectTable[Hours Required],O$3 +$A20)</f>
        <v>7</v>
      </c>
      <c r="P20" s="57">
        <f t="array" ref="P20">INDEX(ProjectTable[Hours Required],P$3 +$A20)</f>
        <v>8</v>
      </c>
      <c r="Q20" s="57">
        <f t="array" ref="Q20">INDEX(ProjectTable[Hours Required],Q$3 +$A20)</f>
        <v>8</v>
      </c>
      <c r="R20" s="57">
        <f t="array" ref="R20">INDEX(ProjectTable[Hours Required],R$3 +$A20)</f>
        <v>9</v>
      </c>
      <c r="S20" s="57">
        <f t="array" ref="S20">INDEX(ProjectTable[Hours Required],S$3 +$A20)</f>
        <v>9</v>
      </c>
      <c r="T20" s="57">
        <f t="array" ref="T20">INDEX(ProjectTable[Hours Required],T$3 +$A20)</f>
        <v>9</v>
      </c>
      <c r="U20" s="57">
        <f t="array" ref="U20">INDEX(ProjectTable[Hours Required],U$3 +$A20)</f>
        <v>9</v>
      </c>
      <c r="V20" s="57">
        <f t="array" ref="V20">INDEX(ProjectTable[Hours Required],V$3 +$A20)</f>
        <v>9</v>
      </c>
      <c r="W20" s="57">
        <f t="array" ref="W20">INDEX(ProjectTable[Hours Required],W$3 +$A20)</f>
        <v>9</v>
      </c>
      <c r="X20" s="57">
        <f t="array" ref="X20">INDEX(ProjectTable[Hours Required],X$3 +$A20)</f>
        <v>6</v>
      </c>
      <c r="Y20" s="57">
        <f t="array" ref="Y20">INDEX(ProjectTable[Hours Required],Y$3 +$A20)</f>
        <v>6</v>
      </c>
      <c r="Z20" s="57">
        <f t="array" ref="Z20">INDEX(ProjectTable[Hours Required],Z$3 +$A20)</f>
        <v>6</v>
      </c>
      <c r="AA20" s="57">
        <f t="array" ref="AA20">INDEX(ProjectTable[Hours Required],AA$3 +$A20)</f>
        <v>6</v>
      </c>
      <c r="AB20" s="57">
        <f t="array" ref="AB20">INDEX(ProjectTable[Hours Required],AB$3 +$A20)</f>
        <v>6</v>
      </c>
      <c r="AC20" s="57">
        <f t="array" ref="AC20">INDEX(ProjectTable[Hours Required],AC$3 +$A20)</f>
        <v>0</v>
      </c>
      <c r="AD20" s="57">
        <f t="array" ref="AD20">INDEX(ProjectTable[Hours Required],AD$3 +$A20)</f>
        <v>0</v>
      </c>
      <c r="AE20" s="57">
        <f t="array" ref="AE20">INDEX(ProjectTable[Hours Required],AE$3 +$A20)</f>
        <v>0</v>
      </c>
      <c r="AF20" s="57">
        <f t="array" ref="AF20">INDEX(ProjectTable[Hours Required],AF$3 +$A20)</f>
        <v>0</v>
      </c>
      <c r="AI20" s="20"/>
      <c r="AJ20" s="19"/>
    </row>
    <row r="21" spans="1:36" x14ac:dyDescent="0.25">
      <c r="A21">
        <v>510</v>
      </c>
      <c r="B21" t="s">
        <v>19</v>
      </c>
      <c r="C21" s="57">
        <f t="array" ref="C21">INDEX(ProjectTable[Hours Required],C$3 +$A21)</f>
        <v>0</v>
      </c>
      <c r="D21" s="57">
        <f t="array" ref="D21">INDEX(ProjectTable[Hours Required],D$3 +$A21)</f>
        <v>0</v>
      </c>
      <c r="E21" s="57">
        <f t="array" ref="E21">INDEX(ProjectTable[Hours Required],E$3 +$A21)</f>
        <v>0</v>
      </c>
      <c r="F21" s="57">
        <f t="array" ref="F21">INDEX(ProjectTable[Hours Required],F$3 +$A21)</f>
        <v>0</v>
      </c>
      <c r="G21" s="57">
        <f t="array" ref="G21">INDEX(ProjectTable[Hours Required],G$3 +$A21)</f>
        <v>0</v>
      </c>
      <c r="H21" s="57">
        <f t="array" ref="H21">INDEX(ProjectTable[Hours Required],H$3 +$A21)</f>
        <v>0</v>
      </c>
      <c r="I21" s="57">
        <f t="array" ref="I21">INDEX(ProjectTable[Hours Required],I$3 +$A21)</f>
        <v>0</v>
      </c>
      <c r="J21" s="57">
        <f t="array" ref="J21">INDEX(ProjectTable[Hours Required],J$3 +$A21)</f>
        <v>0</v>
      </c>
      <c r="K21" s="57">
        <f t="array" ref="K21">INDEX(ProjectTable[Hours Required],K$3 +$A21)</f>
        <v>0</v>
      </c>
      <c r="L21" s="57">
        <f t="array" ref="L21">INDEX(ProjectTable[Hours Required],L$3 +$A21)</f>
        <v>5</v>
      </c>
      <c r="M21" s="57">
        <f t="array" ref="M21">INDEX(ProjectTable[Hours Required],M$3 +$A21)</f>
        <v>5</v>
      </c>
      <c r="N21" s="57">
        <f t="array" ref="N21">INDEX(ProjectTable[Hours Required],N$3 +$A21)</f>
        <v>6</v>
      </c>
      <c r="O21" s="57">
        <f t="array" ref="O21">INDEX(ProjectTable[Hours Required],O$3 +$A21)</f>
        <v>7</v>
      </c>
      <c r="P21" s="57">
        <f t="array" ref="P21">INDEX(ProjectTable[Hours Required],P$3 +$A21)</f>
        <v>8</v>
      </c>
      <c r="Q21" s="57">
        <f t="array" ref="Q21">INDEX(ProjectTable[Hours Required],Q$3 +$A21)</f>
        <v>10</v>
      </c>
      <c r="R21" s="57">
        <f t="array" ref="R21">INDEX(ProjectTable[Hours Required],R$3 +$A21)</f>
        <v>11</v>
      </c>
      <c r="S21" s="57">
        <f t="array" ref="S21">INDEX(ProjectTable[Hours Required],S$3 +$A21)</f>
        <v>11</v>
      </c>
      <c r="T21" s="57">
        <f t="array" ref="T21">INDEX(ProjectTable[Hours Required],T$3 +$A21)</f>
        <v>12</v>
      </c>
      <c r="U21" s="57">
        <f t="array" ref="U21">INDEX(ProjectTable[Hours Required],U$3 +$A21)</f>
        <v>14</v>
      </c>
      <c r="V21" s="57">
        <f t="array" ref="V21">INDEX(ProjectTable[Hours Required],V$3 +$A21)</f>
        <v>15</v>
      </c>
      <c r="W21" s="57">
        <f t="array" ref="W21">INDEX(ProjectTable[Hours Required],W$3 +$A21)</f>
        <v>3</v>
      </c>
      <c r="X21" s="57">
        <f t="array" ref="X21">INDEX(ProjectTable[Hours Required],X$3 +$A21)</f>
        <v>0</v>
      </c>
      <c r="Y21" s="57">
        <f t="array" ref="Y21">INDEX(ProjectTable[Hours Required],Y$3 +$A21)</f>
        <v>0</v>
      </c>
      <c r="Z21" s="57">
        <f t="array" ref="Z21">INDEX(ProjectTable[Hours Required],Z$3 +$A21)</f>
        <v>0</v>
      </c>
      <c r="AA21" s="57">
        <f t="array" ref="AA21">INDEX(ProjectTable[Hours Required],AA$3 +$A21)</f>
        <v>0</v>
      </c>
      <c r="AB21" s="57">
        <f t="array" ref="AB21">INDEX(ProjectTable[Hours Required],AB$3 +$A21)</f>
        <v>0</v>
      </c>
      <c r="AC21" s="57">
        <f t="array" ref="AC21">INDEX(ProjectTable[Hours Required],AC$3 +$A21)</f>
        <v>0</v>
      </c>
      <c r="AD21" s="57">
        <f t="array" ref="AD21">INDEX(ProjectTable[Hours Required],AD$3 +$A21)</f>
        <v>0</v>
      </c>
      <c r="AE21" s="57">
        <f t="array" ref="AE21">INDEX(ProjectTable[Hours Required],AE$3 +$A21)</f>
        <v>0</v>
      </c>
      <c r="AF21" s="57">
        <f t="array" ref="AF21">INDEX(ProjectTable[Hours Required],AF$3 +$A21)</f>
        <v>0</v>
      </c>
      <c r="AI21" s="20"/>
      <c r="AJ21" s="19"/>
    </row>
    <row r="22" spans="1:36" x14ac:dyDescent="0.25">
      <c r="B22" t="s">
        <v>37</v>
      </c>
      <c r="C22" s="57">
        <f>SUM(C4:C21)</f>
        <v>5</v>
      </c>
      <c r="D22" s="57">
        <f t="shared" ref="D22:AF22" si="0">SUM(D4:D21)</f>
        <v>15</v>
      </c>
      <c r="E22" s="57">
        <f t="shared" si="0"/>
        <v>20</v>
      </c>
      <c r="F22" s="57">
        <f t="shared" si="0"/>
        <v>28</v>
      </c>
      <c r="G22" s="57">
        <f t="shared" si="0"/>
        <v>28</v>
      </c>
      <c r="H22" s="57">
        <f t="shared" si="0"/>
        <v>36</v>
      </c>
      <c r="I22" s="57">
        <f t="shared" si="0"/>
        <v>51</v>
      </c>
      <c r="J22" s="57">
        <f t="shared" si="0"/>
        <v>62</v>
      </c>
      <c r="K22" s="57">
        <f t="shared" si="0"/>
        <v>90</v>
      </c>
      <c r="L22" s="57">
        <f t="shared" si="0"/>
        <v>94</v>
      </c>
      <c r="M22" s="57">
        <f t="shared" si="0"/>
        <v>86</v>
      </c>
      <c r="N22" s="57">
        <f t="shared" si="0"/>
        <v>83</v>
      </c>
      <c r="O22" s="57">
        <f t="shared" si="0"/>
        <v>78</v>
      </c>
      <c r="P22" s="57">
        <f t="shared" si="0"/>
        <v>78</v>
      </c>
      <c r="Q22" s="57">
        <f t="shared" si="0"/>
        <v>83</v>
      </c>
      <c r="R22" s="57">
        <f t="shared" si="0"/>
        <v>74</v>
      </c>
      <c r="S22" s="57">
        <f t="shared" si="0"/>
        <v>61</v>
      </c>
      <c r="T22" s="57">
        <f t="shared" si="0"/>
        <v>57</v>
      </c>
      <c r="U22" s="57">
        <f t="shared" si="0"/>
        <v>49</v>
      </c>
      <c r="V22" s="57">
        <f t="shared" si="0"/>
        <v>47</v>
      </c>
      <c r="W22" s="57">
        <f t="shared" si="0"/>
        <v>32</v>
      </c>
      <c r="X22" s="57">
        <f t="shared" si="0"/>
        <v>26</v>
      </c>
      <c r="Y22" s="57">
        <f t="shared" si="0"/>
        <v>26</v>
      </c>
      <c r="Z22" s="57">
        <f t="shared" si="0"/>
        <v>26</v>
      </c>
      <c r="AA22" s="57">
        <f t="shared" si="0"/>
        <v>12</v>
      </c>
      <c r="AB22" s="57">
        <f t="shared" si="0"/>
        <v>6</v>
      </c>
      <c r="AC22" s="57">
        <f t="shared" si="0"/>
        <v>0</v>
      </c>
      <c r="AD22" s="57">
        <f t="shared" si="0"/>
        <v>0</v>
      </c>
      <c r="AE22" s="57">
        <f t="shared" si="0"/>
        <v>0</v>
      </c>
      <c r="AF22" s="57">
        <f t="shared" si="0"/>
        <v>0</v>
      </c>
      <c r="AJ22" s="18"/>
    </row>
    <row r="24" spans="1:36" x14ac:dyDescent="0.25">
      <c r="B24" t="s">
        <v>24</v>
      </c>
    </row>
    <row r="25" spans="1:36" x14ac:dyDescent="0.25">
      <c r="B25" t="s">
        <v>38</v>
      </c>
      <c r="C25">
        <v>60</v>
      </c>
      <c r="D25">
        <v>60</v>
      </c>
      <c r="E25">
        <v>60</v>
      </c>
      <c r="F25">
        <v>60</v>
      </c>
      <c r="G25">
        <v>60</v>
      </c>
      <c r="H25">
        <v>60</v>
      </c>
      <c r="I25">
        <v>60</v>
      </c>
      <c r="J25">
        <v>60</v>
      </c>
      <c r="K25">
        <v>60</v>
      </c>
      <c r="L25">
        <v>60</v>
      </c>
      <c r="M25">
        <v>60</v>
      </c>
      <c r="N25">
        <v>60</v>
      </c>
      <c r="O25">
        <v>60</v>
      </c>
      <c r="P25">
        <v>60</v>
      </c>
      <c r="Q25">
        <v>60</v>
      </c>
      <c r="R25">
        <v>60</v>
      </c>
      <c r="S25">
        <v>60</v>
      </c>
      <c r="T25">
        <v>60</v>
      </c>
      <c r="U25">
        <v>60</v>
      </c>
      <c r="V25">
        <v>60</v>
      </c>
      <c r="W25">
        <v>60</v>
      </c>
      <c r="X25">
        <v>60</v>
      </c>
      <c r="Y25">
        <v>60</v>
      </c>
      <c r="Z25">
        <v>60</v>
      </c>
      <c r="AA25">
        <v>60</v>
      </c>
      <c r="AB25">
        <v>60</v>
      </c>
      <c r="AC25">
        <v>60</v>
      </c>
      <c r="AD25">
        <v>60</v>
      </c>
      <c r="AE25">
        <v>60</v>
      </c>
      <c r="AF25">
        <v>60</v>
      </c>
    </row>
    <row r="26" spans="1:36" x14ac:dyDescent="0.25">
      <c r="B26" t="s">
        <v>25</v>
      </c>
      <c r="C26">
        <v>20</v>
      </c>
      <c r="D26">
        <v>20</v>
      </c>
      <c r="E26">
        <v>20</v>
      </c>
      <c r="F26">
        <v>20</v>
      </c>
      <c r="G26">
        <v>20</v>
      </c>
      <c r="H26">
        <v>20</v>
      </c>
      <c r="I26">
        <v>20</v>
      </c>
      <c r="J26">
        <v>20</v>
      </c>
      <c r="K26">
        <v>20</v>
      </c>
      <c r="L26">
        <v>20</v>
      </c>
      <c r="M26">
        <v>20</v>
      </c>
      <c r="N26">
        <v>20</v>
      </c>
      <c r="O26">
        <v>20</v>
      </c>
      <c r="P26">
        <v>20</v>
      </c>
      <c r="Q26">
        <v>20</v>
      </c>
      <c r="R26">
        <v>20</v>
      </c>
      <c r="S26">
        <v>20</v>
      </c>
      <c r="T26">
        <v>20</v>
      </c>
      <c r="U26">
        <v>20</v>
      </c>
      <c r="V26">
        <v>20</v>
      </c>
      <c r="W26">
        <v>20</v>
      </c>
      <c r="X26">
        <v>20</v>
      </c>
      <c r="Y26">
        <v>20</v>
      </c>
      <c r="Z26">
        <v>20</v>
      </c>
      <c r="AA26">
        <v>20</v>
      </c>
      <c r="AB26">
        <v>20</v>
      </c>
      <c r="AC26">
        <v>20</v>
      </c>
      <c r="AD26">
        <v>20</v>
      </c>
      <c r="AE26">
        <v>20</v>
      </c>
      <c r="AF26">
        <v>20</v>
      </c>
    </row>
    <row r="27" spans="1:36" x14ac:dyDescent="0.25">
      <c r="B27" t="s">
        <v>39</v>
      </c>
      <c r="C27">
        <v>120</v>
      </c>
      <c r="D27">
        <v>120</v>
      </c>
      <c r="E27">
        <v>120</v>
      </c>
      <c r="F27">
        <v>120</v>
      </c>
      <c r="G27">
        <v>120</v>
      </c>
      <c r="H27">
        <v>120</v>
      </c>
      <c r="I27">
        <v>120</v>
      </c>
      <c r="J27">
        <v>120</v>
      </c>
      <c r="K27">
        <v>120</v>
      </c>
      <c r="L27">
        <v>120</v>
      </c>
      <c r="M27">
        <v>120</v>
      </c>
      <c r="N27">
        <v>120</v>
      </c>
      <c r="O27">
        <v>120</v>
      </c>
      <c r="P27">
        <v>120</v>
      </c>
      <c r="Q27">
        <v>120</v>
      </c>
      <c r="R27">
        <v>120</v>
      </c>
      <c r="S27">
        <v>120</v>
      </c>
      <c r="T27">
        <v>120</v>
      </c>
      <c r="U27">
        <v>120</v>
      </c>
      <c r="V27">
        <v>120</v>
      </c>
      <c r="W27">
        <v>120</v>
      </c>
      <c r="X27">
        <v>120</v>
      </c>
      <c r="Y27">
        <v>120</v>
      </c>
      <c r="Z27">
        <v>120</v>
      </c>
      <c r="AA27">
        <v>120</v>
      </c>
      <c r="AB27">
        <v>120</v>
      </c>
      <c r="AC27">
        <v>120</v>
      </c>
      <c r="AD27">
        <v>120</v>
      </c>
      <c r="AE27">
        <v>120</v>
      </c>
      <c r="AF27">
        <v>120</v>
      </c>
    </row>
    <row r="29" spans="1:36" x14ac:dyDescent="0.25">
      <c r="B29" s="2" t="str">
        <f>INDEX(Dashboard!C7:C24,Dashboard.CurrentRow)</f>
        <v>Project 1</v>
      </c>
    </row>
    <row r="30" spans="1:36" x14ac:dyDescent="0.25">
      <c r="B30" s="2">
        <f>INDEX(Calculation!AI4:AI21, Dashboard.CurrentRow)</f>
        <v>0</v>
      </c>
      <c r="I30" s="21"/>
      <c r="J30" s="21"/>
      <c r="K30" s="21"/>
      <c r="L30" s="21"/>
      <c r="M30" s="21"/>
    </row>
    <row r="31" spans="1:36" x14ac:dyDescent="0.25">
      <c r="B31" s="2"/>
      <c r="I31" s="21"/>
      <c r="J31" s="21"/>
      <c r="K31" s="21"/>
      <c r="L31" s="21"/>
      <c r="M31" s="21"/>
    </row>
    <row r="32" spans="1:36" x14ac:dyDescent="0.25">
      <c r="I32" s="21"/>
      <c r="J32" s="21"/>
      <c r="K32" s="21"/>
      <c r="L32" s="21"/>
      <c r="M32" s="21"/>
    </row>
    <row r="33" spans="9:13" x14ac:dyDescent="0.25">
      <c r="I33" s="21"/>
      <c r="J33" s="21"/>
      <c r="K33" s="21"/>
      <c r="L33" s="21"/>
      <c r="M33" s="21"/>
    </row>
    <row r="34" spans="9:13" x14ac:dyDescent="0.25">
      <c r="I34" s="21"/>
      <c r="J34" s="21"/>
      <c r="K34" s="21"/>
      <c r="L34" s="21"/>
      <c r="M34" s="21"/>
    </row>
    <row r="35" spans="9:13" x14ac:dyDescent="0.25">
      <c r="I35" s="21"/>
      <c r="J35" s="21"/>
      <c r="K35" s="21"/>
      <c r="L35" s="21"/>
      <c r="M35" s="21"/>
    </row>
    <row r="36" spans="9:13" x14ac:dyDescent="0.25">
      <c r="I36" s="21"/>
      <c r="J36" s="21"/>
      <c r="K36" s="21"/>
      <c r="L36" s="21"/>
      <c r="M36" s="21"/>
    </row>
    <row r="37" spans="9:13" x14ac:dyDescent="0.25">
      <c r="I37" s="21"/>
      <c r="J37" s="21"/>
      <c r="K37" s="21"/>
      <c r="L37" s="21"/>
      <c r="M37" s="21"/>
    </row>
    <row r="38" spans="9:13" x14ac:dyDescent="0.25">
      <c r="I38" s="21"/>
      <c r="J38" s="21"/>
      <c r="K38" s="21"/>
      <c r="L38" s="21"/>
      <c r="M38" s="21"/>
    </row>
    <row r="39" spans="9:13" x14ac:dyDescent="0.25">
      <c r="I39" s="21"/>
      <c r="J39" s="21"/>
      <c r="K39" s="21"/>
      <c r="L39" s="21"/>
      <c r="M39" s="21"/>
    </row>
    <row r="40" spans="9:13" x14ac:dyDescent="0.25">
      <c r="I40" s="21"/>
      <c r="J40" s="21"/>
      <c r="K40" s="21"/>
      <c r="L40" s="21"/>
      <c r="M40" s="21"/>
    </row>
    <row r="41" spans="9:13" x14ac:dyDescent="0.25">
      <c r="I41" s="21"/>
      <c r="J41" s="21"/>
      <c r="K41" s="21"/>
      <c r="L41" s="21"/>
      <c r="M41" s="21"/>
    </row>
    <row r="42" spans="9:13" x14ac:dyDescent="0.25">
      <c r="I42" s="21"/>
      <c r="J42" s="21"/>
      <c r="K42" s="21"/>
      <c r="L42" s="21"/>
      <c r="M42" s="21"/>
    </row>
    <row r="43" spans="9:13" x14ac:dyDescent="0.25">
      <c r="I43" s="21"/>
      <c r="J43" s="21"/>
      <c r="K43" s="21"/>
      <c r="L43" s="21"/>
      <c r="M43" s="21"/>
    </row>
    <row r="44" spans="9:13" x14ac:dyDescent="0.25">
      <c r="I44" s="21"/>
      <c r="J44" s="21"/>
      <c r="K44" s="21"/>
      <c r="L44" s="21"/>
      <c r="M44" s="21"/>
    </row>
    <row r="45" spans="9:13" x14ac:dyDescent="0.25">
      <c r="I45" s="21"/>
      <c r="J45" s="21"/>
      <c r="K45" s="21"/>
      <c r="L45" s="21"/>
      <c r="M45" s="21"/>
    </row>
  </sheetData>
  <mergeCells count="1">
    <mergeCell ref="C2:A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D541"/>
  <sheetViews>
    <sheetView workbookViewId="0">
      <pane ySplit="1" topLeftCell="A34" activePane="bottomLeft" state="frozen"/>
      <selection pane="bottomLeft" activeCell="A37" sqref="A37"/>
    </sheetView>
  </sheetViews>
  <sheetFormatPr defaultRowHeight="15" x14ac:dyDescent="0.25"/>
  <cols>
    <col min="2" max="2" width="17.42578125" customWidth="1"/>
    <col min="3" max="3" width="18" customWidth="1"/>
    <col min="4" max="4" width="15.85546875" customWidth="1"/>
  </cols>
  <sheetData>
    <row r="1" spans="1:4" x14ac:dyDescent="0.25">
      <c r="A1" s="9" t="s">
        <v>21</v>
      </c>
      <c r="B1" t="s">
        <v>0</v>
      </c>
      <c r="C1" t="s">
        <v>20</v>
      </c>
      <c r="D1" t="s">
        <v>1</v>
      </c>
    </row>
    <row r="2" spans="1:4" x14ac:dyDescent="0.25">
      <c r="A2">
        <v>1</v>
      </c>
      <c r="B2" t="s">
        <v>2</v>
      </c>
      <c r="C2">
        <v>1</v>
      </c>
      <c r="D2">
        <v>5</v>
      </c>
    </row>
    <row r="3" spans="1:4" x14ac:dyDescent="0.25">
      <c r="A3">
        <v>2</v>
      </c>
      <c r="B3" t="s">
        <v>2</v>
      </c>
      <c r="C3">
        <v>2</v>
      </c>
      <c r="D3">
        <v>5</v>
      </c>
    </row>
    <row r="4" spans="1:4" x14ac:dyDescent="0.25">
      <c r="A4">
        <v>3</v>
      </c>
      <c r="B4" t="s">
        <v>2</v>
      </c>
      <c r="C4">
        <v>3</v>
      </c>
      <c r="D4">
        <v>4</v>
      </c>
    </row>
    <row r="5" spans="1:4" x14ac:dyDescent="0.25">
      <c r="A5">
        <v>4</v>
      </c>
      <c r="B5" t="s">
        <v>2</v>
      </c>
      <c r="C5">
        <v>4</v>
      </c>
      <c r="D5">
        <v>3</v>
      </c>
    </row>
    <row r="6" spans="1:4" x14ac:dyDescent="0.25">
      <c r="A6">
        <v>5</v>
      </c>
      <c r="B6" t="s">
        <v>2</v>
      </c>
      <c r="C6">
        <v>5</v>
      </c>
      <c r="D6">
        <v>2</v>
      </c>
    </row>
    <row r="7" spans="1:4" x14ac:dyDescent="0.25">
      <c r="A7">
        <v>6</v>
      </c>
      <c r="B7" t="s">
        <v>2</v>
      </c>
      <c r="C7">
        <v>6</v>
      </c>
      <c r="D7">
        <v>1</v>
      </c>
    </row>
    <row r="8" spans="1:4" x14ac:dyDescent="0.25">
      <c r="A8">
        <v>7</v>
      </c>
      <c r="B8" t="s">
        <v>2</v>
      </c>
      <c r="C8">
        <v>7</v>
      </c>
      <c r="D8">
        <v>0</v>
      </c>
    </row>
    <row r="9" spans="1:4" x14ac:dyDescent="0.25">
      <c r="A9">
        <v>8</v>
      </c>
      <c r="B9" t="s">
        <v>2</v>
      </c>
      <c r="C9">
        <v>8</v>
      </c>
      <c r="D9">
        <v>0</v>
      </c>
    </row>
    <row r="10" spans="1:4" x14ac:dyDescent="0.25">
      <c r="A10">
        <v>9</v>
      </c>
      <c r="B10" t="s">
        <v>2</v>
      </c>
      <c r="C10">
        <v>9</v>
      </c>
      <c r="D10">
        <v>0</v>
      </c>
    </row>
    <row r="11" spans="1:4" x14ac:dyDescent="0.25">
      <c r="A11">
        <v>10</v>
      </c>
      <c r="B11" t="s">
        <v>2</v>
      </c>
      <c r="C11">
        <v>10</v>
      </c>
      <c r="D11">
        <v>0</v>
      </c>
    </row>
    <row r="12" spans="1:4" x14ac:dyDescent="0.25">
      <c r="A12">
        <v>11</v>
      </c>
      <c r="B12" t="s">
        <v>2</v>
      </c>
      <c r="C12">
        <v>11</v>
      </c>
      <c r="D12">
        <v>0</v>
      </c>
    </row>
    <row r="13" spans="1:4" x14ac:dyDescent="0.25">
      <c r="A13">
        <v>12</v>
      </c>
      <c r="B13" t="s">
        <v>2</v>
      </c>
      <c r="C13">
        <v>12</v>
      </c>
      <c r="D13">
        <v>0</v>
      </c>
    </row>
    <row r="14" spans="1:4" x14ac:dyDescent="0.25">
      <c r="A14">
        <v>13</v>
      </c>
      <c r="B14" t="s">
        <v>2</v>
      </c>
      <c r="C14">
        <v>13</v>
      </c>
      <c r="D14">
        <v>0</v>
      </c>
    </row>
    <row r="15" spans="1:4" x14ac:dyDescent="0.25">
      <c r="A15">
        <v>14</v>
      </c>
      <c r="B15" t="s">
        <v>2</v>
      </c>
      <c r="C15">
        <v>14</v>
      </c>
      <c r="D15">
        <v>0</v>
      </c>
    </row>
    <row r="16" spans="1:4" x14ac:dyDescent="0.25">
      <c r="A16">
        <v>15</v>
      </c>
      <c r="B16" t="s">
        <v>2</v>
      </c>
      <c r="C16">
        <v>15</v>
      </c>
      <c r="D16">
        <v>0</v>
      </c>
    </row>
    <row r="17" spans="1:4" x14ac:dyDescent="0.25">
      <c r="A17">
        <v>16</v>
      </c>
      <c r="B17" t="s">
        <v>2</v>
      </c>
      <c r="C17">
        <v>16</v>
      </c>
      <c r="D17">
        <v>0</v>
      </c>
    </row>
    <row r="18" spans="1:4" x14ac:dyDescent="0.25">
      <c r="A18">
        <v>17</v>
      </c>
      <c r="B18" t="s">
        <v>2</v>
      </c>
      <c r="C18">
        <v>17</v>
      </c>
      <c r="D18">
        <v>0</v>
      </c>
    </row>
    <row r="19" spans="1:4" x14ac:dyDescent="0.25">
      <c r="A19">
        <v>18</v>
      </c>
      <c r="B19" t="s">
        <v>2</v>
      </c>
      <c r="C19">
        <v>18</v>
      </c>
      <c r="D19">
        <v>0</v>
      </c>
    </row>
    <row r="20" spans="1:4" x14ac:dyDescent="0.25">
      <c r="A20">
        <v>19</v>
      </c>
      <c r="B20" t="s">
        <v>2</v>
      </c>
      <c r="C20">
        <v>19</v>
      </c>
      <c r="D20">
        <v>0</v>
      </c>
    </row>
    <row r="21" spans="1:4" x14ac:dyDescent="0.25">
      <c r="A21">
        <v>20</v>
      </c>
      <c r="B21" t="s">
        <v>2</v>
      </c>
      <c r="C21">
        <v>20</v>
      </c>
      <c r="D21">
        <v>0</v>
      </c>
    </row>
    <row r="22" spans="1:4" x14ac:dyDescent="0.25">
      <c r="A22">
        <v>21</v>
      </c>
      <c r="B22" t="s">
        <v>2</v>
      </c>
      <c r="C22">
        <v>21</v>
      </c>
      <c r="D22">
        <v>0</v>
      </c>
    </row>
    <row r="23" spans="1:4" x14ac:dyDescent="0.25">
      <c r="A23">
        <v>22</v>
      </c>
      <c r="B23" t="s">
        <v>2</v>
      </c>
      <c r="C23">
        <v>22</v>
      </c>
      <c r="D23">
        <v>0</v>
      </c>
    </row>
    <row r="24" spans="1:4" x14ac:dyDescent="0.25">
      <c r="A24">
        <v>23</v>
      </c>
      <c r="B24" t="s">
        <v>2</v>
      </c>
      <c r="C24">
        <v>23</v>
      </c>
      <c r="D24">
        <v>0</v>
      </c>
    </row>
    <row r="25" spans="1:4" x14ac:dyDescent="0.25">
      <c r="A25">
        <v>24</v>
      </c>
      <c r="B25" t="s">
        <v>2</v>
      </c>
      <c r="C25">
        <v>24</v>
      </c>
      <c r="D25">
        <v>0</v>
      </c>
    </row>
    <row r="26" spans="1:4" x14ac:dyDescent="0.25">
      <c r="A26">
        <v>25</v>
      </c>
      <c r="B26" t="s">
        <v>2</v>
      </c>
      <c r="C26">
        <v>25</v>
      </c>
      <c r="D26">
        <v>0</v>
      </c>
    </row>
    <row r="27" spans="1:4" x14ac:dyDescent="0.25">
      <c r="A27">
        <v>26</v>
      </c>
      <c r="B27" t="s">
        <v>2</v>
      </c>
      <c r="C27">
        <v>26</v>
      </c>
      <c r="D27">
        <v>0</v>
      </c>
    </row>
    <row r="28" spans="1:4" x14ac:dyDescent="0.25">
      <c r="A28">
        <v>27</v>
      </c>
      <c r="B28" t="s">
        <v>2</v>
      </c>
      <c r="C28">
        <v>27</v>
      </c>
      <c r="D28">
        <v>0</v>
      </c>
    </row>
    <row r="29" spans="1:4" x14ac:dyDescent="0.25">
      <c r="A29">
        <v>28</v>
      </c>
      <c r="B29" t="s">
        <v>2</v>
      </c>
      <c r="C29">
        <v>28</v>
      </c>
      <c r="D29">
        <v>0</v>
      </c>
    </row>
    <row r="30" spans="1:4" x14ac:dyDescent="0.25">
      <c r="A30">
        <v>29</v>
      </c>
      <c r="B30" t="s">
        <v>2</v>
      </c>
      <c r="C30">
        <v>29</v>
      </c>
      <c r="D30">
        <v>0</v>
      </c>
    </row>
    <row r="31" spans="1:4" x14ac:dyDescent="0.25">
      <c r="A31">
        <v>30</v>
      </c>
      <c r="B31" t="s">
        <v>2</v>
      </c>
      <c r="C31">
        <v>30</v>
      </c>
      <c r="D31">
        <v>0</v>
      </c>
    </row>
    <row r="32" spans="1:4" x14ac:dyDescent="0.25">
      <c r="A32">
        <v>31</v>
      </c>
      <c r="B32" t="s">
        <v>3</v>
      </c>
      <c r="C32">
        <v>1</v>
      </c>
      <c r="D32">
        <v>0</v>
      </c>
    </row>
    <row r="33" spans="1:4" x14ac:dyDescent="0.25">
      <c r="A33">
        <v>32</v>
      </c>
      <c r="B33" t="s">
        <v>3</v>
      </c>
      <c r="C33">
        <v>2</v>
      </c>
      <c r="D33">
        <v>6</v>
      </c>
    </row>
    <row r="34" spans="1:4" x14ac:dyDescent="0.25">
      <c r="A34">
        <v>33</v>
      </c>
      <c r="B34" t="s">
        <v>3</v>
      </c>
      <c r="C34">
        <v>3</v>
      </c>
      <c r="D34">
        <v>6</v>
      </c>
    </row>
    <row r="35" spans="1:4" x14ac:dyDescent="0.25">
      <c r="A35">
        <v>34</v>
      </c>
      <c r="B35" t="s">
        <v>3</v>
      </c>
      <c r="C35">
        <v>4</v>
      </c>
      <c r="D35">
        <v>5</v>
      </c>
    </row>
    <row r="36" spans="1:4" x14ac:dyDescent="0.25">
      <c r="A36">
        <v>35</v>
      </c>
      <c r="B36" t="s">
        <v>3</v>
      </c>
      <c r="C36">
        <v>5</v>
      </c>
      <c r="D36">
        <v>4</v>
      </c>
    </row>
    <row r="37" spans="1:4" x14ac:dyDescent="0.25">
      <c r="A37">
        <v>36</v>
      </c>
      <c r="B37" t="s">
        <v>3</v>
      </c>
      <c r="C37">
        <v>6</v>
      </c>
      <c r="D37">
        <v>3</v>
      </c>
    </row>
    <row r="38" spans="1:4" x14ac:dyDescent="0.25">
      <c r="A38">
        <v>37</v>
      </c>
      <c r="B38" t="s">
        <v>3</v>
      </c>
      <c r="C38">
        <v>7</v>
      </c>
      <c r="D38">
        <v>3</v>
      </c>
    </row>
    <row r="39" spans="1:4" x14ac:dyDescent="0.25">
      <c r="A39">
        <v>38</v>
      </c>
      <c r="B39" t="s">
        <v>3</v>
      </c>
      <c r="C39">
        <v>8</v>
      </c>
      <c r="D39">
        <v>3</v>
      </c>
    </row>
    <row r="40" spans="1:4" x14ac:dyDescent="0.25">
      <c r="A40">
        <v>39</v>
      </c>
      <c r="B40" t="s">
        <v>3</v>
      </c>
      <c r="C40">
        <v>9</v>
      </c>
      <c r="D40">
        <v>2</v>
      </c>
    </row>
    <row r="41" spans="1:4" x14ac:dyDescent="0.25">
      <c r="A41">
        <v>40</v>
      </c>
      <c r="B41" t="s">
        <v>3</v>
      </c>
      <c r="C41">
        <v>10</v>
      </c>
      <c r="D41">
        <v>1</v>
      </c>
    </row>
    <row r="42" spans="1:4" x14ac:dyDescent="0.25">
      <c r="A42">
        <v>41</v>
      </c>
      <c r="B42" t="s">
        <v>3</v>
      </c>
      <c r="C42">
        <v>11</v>
      </c>
      <c r="D42">
        <v>0</v>
      </c>
    </row>
    <row r="43" spans="1:4" x14ac:dyDescent="0.25">
      <c r="A43">
        <v>42</v>
      </c>
      <c r="B43" t="s">
        <v>3</v>
      </c>
      <c r="C43">
        <v>12</v>
      </c>
      <c r="D43">
        <v>0</v>
      </c>
    </row>
    <row r="44" spans="1:4" x14ac:dyDescent="0.25">
      <c r="A44">
        <v>43</v>
      </c>
      <c r="B44" t="s">
        <v>3</v>
      </c>
      <c r="C44">
        <v>13</v>
      </c>
      <c r="D44">
        <v>0</v>
      </c>
    </row>
    <row r="45" spans="1:4" x14ac:dyDescent="0.25">
      <c r="A45">
        <v>44</v>
      </c>
      <c r="B45" t="s">
        <v>3</v>
      </c>
      <c r="C45">
        <v>14</v>
      </c>
      <c r="D45">
        <v>0</v>
      </c>
    </row>
    <row r="46" spans="1:4" x14ac:dyDescent="0.25">
      <c r="A46">
        <v>45</v>
      </c>
      <c r="B46" t="s">
        <v>3</v>
      </c>
      <c r="C46">
        <v>15</v>
      </c>
      <c r="D46">
        <v>0</v>
      </c>
    </row>
    <row r="47" spans="1:4" x14ac:dyDescent="0.25">
      <c r="A47">
        <v>46</v>
      </c>
      <c r="B47" t="s">
        <v>3</v>
      </c>
      <c r="C47">
        <v>16</v>
      </c>
      <c r="D47">
        <v>0</v>
      </c>
    </row>
    <row r="48" spans="1:4" x14ac:dyDescent="0.25">
      <c r="A48">
        <v>47</v>
      </c>
      <c r="B48" t="s">
        <v>3</v>
      </c>
      <c r="C48">
        <v>17</v>
      </c>
      <c r="D48">
        <v>0</v>
      </c>
    </row>
    <row r="49" spans="1:4" x14ac:dyDescent="0.25">
      <c r="A49">
        <v>48</v>
      </c>
      <c r="B49" t="s">
        <v>3</v>
      </c>
      <c r="C49">
        <v>18</v>
      </c>
      <c r="D49">
        <v>0</v>
      </c>
    </row>
    <row r="50" spans="1:4" x14ac:dyDescent="0.25">
      <c r="A50">
        <v>49</v>
      </c>
      <c r="B50" t="s">
        <v>3</v>
      </c>
      <c r="C50">
        <v>19</v>
      </c>
      <c r="D50">
        <v>0</v>
      </c>
    </row>
    <row r="51" spans="1:4" x14ac:dyDescent="0.25">
      <c r="A51">
        <v>50</v>
      </c>
      <c r="B51" t="s">
        <v>3</v>
      </c>
      <c r="C51">
        <v>20</v>
      </c>
      <c r="D51">
        <v>0</v>
      </c>
    </row>
    <row r="52" spans="1:4" x14ac:dyDescent="0.25">
      <c r="A52">
        <v>51</v>
      </c>
      <c r="B52" t="s">
        <v>3</v>
      </c>
      <c r="C52">
        <v>21</v>
      </c>
      <c r="D52">
        <v>0</v>
      </c>
    </row>
    <row r="53" spans="1:4" x14ac:dyDescent="0.25">
      <c r="A53">
        <v>52</v>
      </c>
      <c r="B53" t="s">
        <v>3</v>
      </c>
      <c r="C53">
        <v>22</v>
      </c>
      <c r="D53">
        <v>0</v>
      </c>
    </row>
    <row r="54" spans="1:4" x14ac:dyDescent="0.25">
      <c r="A54">
        <v>53</v>
      </c>
      <c r="B54" t="s">
        <v>3</v>
      </c>
      <c r="C54">
        <v>23</v>
      </c>
      <c r="D54">
        <v>0</v>
      </c>
    </row>
    <row r="55" spans="1:4" x14ac:dyDescent="0.25">
      <c r="A55">
        <v>54</v>
      </c>
      <c r="B55" t="s">
        <v>3</v>
      </c>
      <c r="C55">
        <v>24</v>
      </c>
      <c r="D55">
        <v>0</v>
      </c>
    </row>
    <row r="56" spans="1:4" x14ac:dyDescent="0.25">
      <c r="A56">
        <v>55</v>
      </c>
      <c r="B56" t="s">
        <v>3</v>
      </c>
      <c r="C56">
        <v>25</v>
      </c>
      <c r="D56">
        <v>0</v>
      </c>
    </row>
    <row r="57" spans="1:4" x14ac:dyDescent="0.25">
      <c r="A57">
        <v>56</v>
      </c>
      <c r="B57" t="s">
        <v>3</v>
      </c>
      <c r="C57">
        <v>26</v>
      </c>
      <c r="D57">
        <v>0</v>
      </c>
    </row>
    <row r="58" spans="1:4" x14ac:dyDescent="0.25">
      <c r="A58">
        <v>57</v>
      </c>
      <c r="B58" t="s">
        <v>3</v>
      </c>
      <c r="C58">
        <v>27</v>
      </c>
      <c r="D58">
        <v>0</v>
      </c>
    </row>
    <row r="59" spans="1:4" x14ac:dyDescent="0.25">
      <c r="A59">
        <v>58</v>
      </c>
      <c r="B59" t="s">
        <v>3</v>
      </c>
      <c r="C59">
        <v>28</v>
      </c>
      <c r="D59">
        <v>0</v>
      </c>
    </row>
    <row r="60" spans="1:4" x14ac:dyDescent="0.25">
      <c r="A60">
        <v>59</v>
      </c>
      <c r="B60" t="s">
        <v>3</v>
      </c>
      <c r="C60">
        <v>29</v>
      </c>
      <c r="D60">
        <v>0</v>
      </c>
    </row>
    <row r="61" spans="1:4" x14ac:dyDescent="0.25">
      <c r="A61">
        <v>60</v>
      </c>
      <c r="B61" t="s">
        <v>3</v>
      </c>
      <c r="C61">
        <v>30</v>
      </c>
      <c r="D61">
        <v>0</v>
      </c>
    </row>
    <row r="62" spans="1:4" x14ac:dyDescent="0.25">
      <c r="A62">
        <v>61</v>
      </c>
      <c r="B62" t="s">
        <v>4</v>
      </c>
      <c r="C62">
        <v>1</v>
      </c>
      <c r="D62">
        <v>0</v>
      </c>
    </row>
    <row r="63" spans="1:4" x14ac:dyDescent="0.25">
      <c r="A63">
        <v>62</v>
      </c>
      <c r="B63" t="s">
        <v>4</v>
      </c>
      <c r="C63">
        <v>2</v>
      </c>
      <c r="D63">
        <v>4</v>
      </c>
    </row>
    <row r="64" spans="1:4" x14ac:dyDescent="0.25">
      <c r="A64">
        <v>63</v>
      </c>
      <c r="B64" t="s">
        <v>4</v>
      </c>
      <c r="C64">
        <v>3</v>
      </c>
      <c r="D64">
        <v>5</v>
      </c>
    </row>
    <row r="65" spans="1:4" x14ac:dyDescent="0.25">
      <c r="A65">
        <v>64</v>
      </c>
      <c r="B65" t="s">
        <v>4</v>
      </c>
      <c r="C65">
        <v>4</v>
      </c>
      <c r="D65">
        <v>6</v>
      </c>
    </row>
    <row r="66" spans="1:4" x14ac:dyDescent="0.25">
      <c r="A66">
        <v>65</v>
      </c>
      <c r="B66" t="s">
        <v>4</v>
      </c>
      <c r="C66">
        <v>5</v>
      </c>
      <c r="D66">
        <v>7</v>
      </c>
    </row>
    <row r="67" spans="1:4" x14ac:dyDescent="0.25">
      <c r="A67">
        <v>66</v>
      </c>
      <c r="B67" t="s">
        <v>4</v>
      </c>
      <c r="C67">
        <v>6</v>
      </c>
      <c r="D67">
        <v>7</v>
      </c>
    </row>
    <row r="68" spans="1:4" x14ac:dyDescent="0.25">
      <c r="A68">
        <v>67</v>
      </c>
      <c r="B68" t="s">
        <v>4</v>
      </c>
      <c r="C68">
        <v>7</v>
      </c>
      <c r="D68">
        <v>6</v>
      </c>
    </row>
    <row r="69" spans="1:4" x14ac:dyDescent="0.25">
      <c r="A69">
        <v>68</v>
      </c>
      <c r="B69" t="s">
        <v>4</v>
      </c>
      <c r="C69">
        <v>8</v>
      </c>
      <c r="D69">
        <v>6</v>
      </c>
    </row>
    <row r="70" spans="1:4" x14ac:dyDescent="0.25">
      <c r="A70">
        <v>69</v>
      </c>
      <c r="B70" t="s">
        <v>4</v>
      </c>
      <c r="C70">
        <v>9</v>
      </c>
      <c r="D70">
        <v>5</v>
      </c>
    </row>
    <row r="71" spans="1:4" x14ac:dyDescent="0.25">
      <c r="A71">
        <v>70</v>
      </c>
      <c r="B71" t="s">
        <v>4</v>
      </c>
      <c r="C71">
        <v>10</v>
      </c>
      <c r="D71">
        <v>4</v>
      </c>
    </row>
    <row r="72" spans="1:4" x14ac:dyDescent="0.25">
      <c r="A72">
        <v>71</v>
      </c>
      <c r="B72" t="s">
        <v>4</v>
      </c>
      <c r="C72">
        <v>11</v>
      </c>
      <c r="D72">
        <v>3</v>
      </c>
    </row>
    <row r="73" spans="1:4" x14ac:dyDescent="0.25">
      <c r="A73">
        <v>72</v>
      </c>
      <c r="B73" t="s">
        <v>4</v>
      </c>
      <c r="C73">
        <v>12</v>
      </c>
      <c r="D73">
        <v>2</v>
      </c>
    </row>
    <row r="74" spans="1:4" x14ac:dyDescent="0.25">
      <c r="A74">
        <v>73</v>
      </c>
      <c r="B74" t="s">
        <v>4</v>
      </c>
      <c r="C74">
        <v>13</v>
      </c>
      <c r="D74">
        <v>1</v>
      </c>
    </row>
    <row r="75" spans="1:4" x14ac:dyDescent="0.25">
      <c r="A75">
        <v>74</v>
      </c>
      <c r="B75" t="s">
        <v>4</v>
      </c>
      <c r="C75">
        <v>14</v>
      </c>
      <c r="D75">
        <v>0</v>
      </c>
    </row>
    <row r="76" spans="1:4" x14ac:dyDescent="0.25">
      <c r="A76">
        <v>75</v>
      </c>
      <c r="B76" t="s">
        <v>4</v>
      </c>
      <c r="C76">
        <v>15</v>
      </c>
      <c r="D76">
        <v>0</v>
      </c>
    </row>
    <row r="77" spans="1:4" x14ac:dyDescent="0.25">
      <c r="A77">
        <v>76</v>
      </c>
      <c r="B77" t="s">
        <v>4</v>
      </c>
      <c r="C77">
        <v>16</v>
      </c>
      <c r="D77">
        <v>0</v>
      </c>
    </row>
    <row r="78" spans="1:4" x14ac:dyDescent="0.25">
      <c r="A78">
        <v>77</v>
      </c>
      <c r="B78" t="s">
        <v>4</v>
      </c>
      <c r="C78">
        <v>17</v>
      </c>
      <c r="D78">
        <v>0</v>
      </c>
    </row>
    <row r="79" spans="1:4" x14ac:dyDescent="0.25">
      <c r="A79">
        <v>78</v>
      </c>
      <c r="B79" t="s">
        <v>4</v>
      </c>
      <c r="C79">
        <v>18</v>
      </c>
      <c r="D79">
        <v>0</v>
      </c>
    </row>
    <row r="80" spans="1:4" x14ac:dyDescent="0.25">
      <c r="A80">
        <v>79</v>
      </c>
      <c r="B80" t="s">
        <v>4</v>
      </c>
      <c r="C80">
        <v>19</v>
      </c>
      <c r="D80">
        <v>0</v>
      </c>
    </row>
    <row r="81" spans="1:4" x14ac:dyDescent="0.25">
      <c r="A81">
        <v>80</v>
      </c>
      <c r="B81" t="s">
        <v>4</v>
      </c>
      <c r="C81">
        <v>20</v>
      </c>
      <c r="D81">
        <v>0</v>
      </c>
    </row>
    <row r="82" spans="1:4" x14ac:dyDescent="0.25">
      <c r="A82">
        <v>81</v>
      </c>
      <c r="B82" t="s">
        <v>4</v>
      </c>
      <c r="C82">
        <v>21</v>
      </c>
      <c r="D82">
        <v>0</v>
      </c>
    </row>
    <row r="83" spans="1:4" x14ac:dyDescent="0.25">
      <c r="A83">
        <v>82</v>
      </c>
      <c r="B83" t="s">
        <v>4</v>
      </c>
      <c r="C83">
        <v>22</v>
      </c>
      <c r="D83">
        <v>0</v>
      </c>
    </row>
    <row r="84" spans="1:4" x14ac:dyDescent="0.25">
      <c r="A84">
        <v>83</v>
      </c>
      <c r="B84" t="s">
        <v>4</v>
      </c>
      <c r="C84">
        <v>23</v>
      </c>
      <c r="D84">
        <v>0</v>
      </c>
    </row>
    <row r="85" spans="1:4" x14ac:dyDescent="0.25">
      <c r="A85">
        <v>84</v>
      </c>
      <c r="B85" t="s">
        <v>4</v>
      </c>
      <c r="C85">
        <v>24</v>
      </c>
      <c r="D85">
        <v>0</v>
      </c>
    </row>
    <row r="86" spans="1:4" x14ac:dyDescent="0.25">
      <c r="A86">
        <v>85</v>
      </c>
      <c r="B86" t="s">
        <v>4</v>
      </c>
      <c r="C86">
        <v>25</v>
      </c>
      <c r="D86">
        <v>0</v>
      </c>
    </row>
    <row r="87" spans="1:4" x14ac:dyDescent="0.25">
      <c r="A87">
        <v>86</v>
      </c>
      <c r="B87" t="s">
        <v>4</v>
      </c>
      <c r="C87">
        <v>26</v>
      </c>
      <c r="D87">
        <v>0</v>
      </c>
    </row>
    <row r="88" spans="1:4" x14ac:dyDescent="0.25">
      <c r="A88">
        <v>87</v>
      </c>
      <c r="B88" t="s">
        <v>4</v>
      </c>
      <c r="C88">
        <v>27</v>
      </c>
      <c r="D88">
        <v>0</v>
      </c>
    </row>
    <row r="89" spans="1:4" x14ac:dyDescent="0.25">
      <c r="A89">
        <v>88</v>
      </c>
      <c r="B89" t="s">
        <v>4</v>
      </c>
      <c r="C89">
        <v>28</v>
      </c>
      <c r="D89">
        <v>0</v>
      </c>
    </row>
    <row r="90" spans="1:4" x14ac:dyDescent="0.25">
      <c r="A90">
        <v>89</v>
      </c>
      <c r="B90" t="s">
        <v>4</v>
      </c>
      <c r="C90">
        <v>29</v>
      </c>
      <c r="D90">
        <v>0</v>
      </c>
    </row>
    <row r="91" spans="1:4" x14ac:dyDescent="0.25">
      <c r="A91">
        <v>90</v>
      </c>
      <c r="B91" t="s">
        <v>4</v>
      </c>
      <c r="C91">
        <v>30</v>
      </c>
      <c r="D91">
        <v>0</v>
      </c>
    </row>
    <row r="92" spans="1:4" x14ac:dyDescent="0.25">
      <c r="A92">
        <v>91</v>
      </c>
      <c r="B92" t="s">
        <v>5</v>
      </c>
      <c r="C92">
        <v>1</v>
      </c>
      <c r="D92">
        <v>0</v>
      </c>
    </row>
    <row r="93" spans="1:4" x14ac:dyDescent="0.25">
      <c r="A93">
        <v>92</v>
      </c>
      <c r="B93" t="s">
        <v>5</v>
      </c>
      <c r="C93">
        <v>2</v>
      </c>
      <c r="D93">
        <v>0</v>
      </c>
    </row>
    <row r="94" spans="1:4" x14ac:dyDescent="0.25">
      <c r="A94">
        <v>93</v>
      </c>
      <c r="B94" t="s">
        <v>5</v>
      </c>
      <c r="C94">
        <v>3</v>
      </c>
      <c r="D94">
        <v>5</v>
      </c>
    </row>
    <row r="95" spans="1:4" x14ac:dyDescent="0.25">
      <c r="A95">
        <v>94</v>
      </c>
      <c r="B95" t="s">
        <v>5</v>
      </c>
      <c r="C95">
        <v>4</v>
      </c>
      <c r="D95">
        <v>6</v>
      </c>
    </row>
    <row r="96" spans="1:4" x14ac:dyDescent="0.25">
      <c r="A96">
        <v>95</v>
      </c>
      <c r="B96" t="s">
        <v>5</v>
      </c>
      <c r="C96">
        <v>5</v>
      </c>
      <c r="D96">
        <v>6</v>
      </c>
    </row>
    <row r="97" spans="1:4" x14ac:dyDescent="0.25">
      <c r="A97">
        <v>96</v>
      </c>
      <c r="B97" t="s">
        <v>5</v>
      </c>
      <c r="C97">
        <v>6</v>
      </c>
      <c r="D97">
        <v>6</v>
      </c>
    </row>
    <row r="98" spans="1:4" x14ac:dyDescent="0.25">
      <c r="A98">
        <v>97</v>
      </c>
      <c r="B98" t="s">
        <v>5</v>
      </c>
      <c r="C98">
        <v>7</v>
      </c>
      <c r="D98">
        <v>7</v>
      </c>
    </row>
    <row r="99" spans="1:4" x14ac:dyDescent="0.25">
      <c r="A99">
        <v>98</v>
      </c>
      <c r="B99" t="s">
        <v>5</v>
      </c>
      <c r="C99">
        <v>8</v>
      </c>
      <c r="D99">
        <v>7</v>
      </c>
    </row>
    <row r="100" spans="1:4" x14ac:dyDescent="0.25">
      <c r="A100">
        <v>99</v>
      </c>
      <c r="B100" t="s">
        <v>5</v>
      </c>
      <c r="C100">
        <v>9</v>
      </c>
      <c r="D100">
        <v>10</v>
      </c>
    </row>
    <row r="101" spans="1:4" x14ac:dyDescent="0.25">
      <c r="A101">
        <v>100</v>
      </c>
      <c r="B101" t="s">
        <v>5</v>
      </c>
      <c r="C101">
        <v>10</v>
      </c>
      <c r="D101">
        <v>10</v>
      </c>
    </row>
    <row r="102" spans="1:4" x14ac:dyDescent="0.25">
      <c r="A102">
        <v>101</v>
      </c>
      <c r="B102" t="s">
        <v>5</v>
      </c>
      <c r="C102">
        <v>11</v>
      </c>
      <c r="D102">
        <v>9</v>
      </c>
    </row>
    <row r="103" spans="1:4" x14ac:dyDescent="0.25">
      <c r="A103">
        <v>102</v>
      </c>
      <c r="B103" t="s">
        <v>5</v>
      </c>
      <c r="C103">
        <v>12</v>
      </c>
      <c r="D103">
        <v>9</v>
      </c>
    </row>
    <row r="104" spans="1:4" x14ac:dyDescent="0.25">
      <c r="A104">
        <v>103</v>
      </c>
      <c r="B104" t="s">
        <v>5</v>
      </c>
      <c r="C104">
        <v>13</v>
      </c>
      <c r="D104">
        <v>9</v>
      </c>
    </row>
    <row r="105" spans="1:4" x14ac:dyDescent="0.25">
      <c r="A105">
        <v>104</v>
      </c>
      <c r="B105" t="s">
        <v>5</v>
      </c>
      <c r="C105">
        <v>14</v>
      </c>
      <c r="D105">
        <v>9</v>
      </c>
    </row>
    <row r="106" spans="1:4" x14ac:dyDescent="0.25">
      <c r="A106">
        <v>105</v>
      </c>
      <c r="B106" t="s">
        <v>5</v>
      </c>
      <c r="C106">
        <v>15</v>
      </c>
      <c r="D106">
        <v>9</v>
      </c>
    </row>
    <row r="107" spans="1:4" x14ac:dyDescent="0.25">
      <c r="A107">
        <v>106</v>
      </c>
      <c r="B107" t="s">
        <v>5</v>
      </c>
      <c r="C107">
        <v>16</v>
      </c>
      <c r="D107">
        <v>9</v>
      </c>
    </row>
    <row r="108" spans="1:4" x14ac:dyDescent="0.25">
      <c r="A108">
        <v>107</v>
      </c>
      <c r="B108" t="s">
        <v>5</v>
      </c>
      <c r="C108">
        <v>17</v>
      </c>
      <c r="D108">
        <v>9</v>
      </c>
    </row>
    <row r="109" spans="1:4" x14ac:dyDescent="0.25">
      <c r="A109">
        <v>108</v>
      </c>
      <c r="B109" t="s">
        <v>5</v>
      </c>
      <c r="C109">
        <v>18</v>
      </c>
      <c r="D109">
        <v>8</v>
      </c>
    </row>
    <row r="110" spans="1:4" x14ac:dyDescent="0.25">
      <c r="A110">
        <v>109</v>
      </c>
      <c r="B110" t="s">
        <v>5</v>
      </c>
      <c r="C110">
        <v>19</v>
      </c>
      <c r="D110">
        <v>8</v>
      </c>
    </row>
    <row r="111" spans="1:4" x14ac:dyDescent="0.25">
      <c r="A111">
        <v>110</v>
      </c>
      <c r="B111" t="s">
        <v>5</v>
      </c>
      <c r="C111">
        <v>20</v>
      </c>
      <c r="D111">
        <v>8</v>
      </c>
    </row>
    <row r="112" spans="1:4" x14ac:dyDescent="0.25">
      <c r="A112">
        <v>111</v>
      </c>
      <c r="B112" t="s">
        <v>5</v>
      </c>
      <c r="C112">
        <v>21</v>
      </c>
      <c r="D112">
        <v>8</v>
      </c>
    </row>
    <row r="113" spans="1:4" x14ac:dyDescent="0.25">
      <c r="A113">
        <v>112</v>
      </c>
      <c r="B113" t="s">
        <v>5</v>
      </c>
      <c r="C113">
        <v>22</v>
      </c>
      <c r="D113">
        <v>8</v>
      </c>
    </row>
    <row r="114" spans="1:4" x14ac:dyDescent="0.25">
      <c r="A114">
        <v>113</v>
      </c>
      <c r="B114" t="s">
        <v>5</v>
      </c>
      <c r="C114">
        <v>23</v>
      </c>
      <c r="D114">
        <v>8</v>
      </c>
    </row>
    <row r="115" spans="1:4" x14ac:dyDescent="0.25">
      <c r="A115">
        <v>114</v>
      </c>
      <c r="B115" t="s">
        <v>5</v>
      </c>
      <c r="C115">
        <v>24</v>
      </c>
      <c r="D115">
        <v>8</v>
      </c>
    </row>
    <row r="116" spans="1:4" x14ac:dyDescent="0.25">
      <c r="A116">
        <v>115</v>
      </c>
      <c r="B116" t="s">
        <v>5</v>
      </c>
      <c r="C116">
        <v>25</v>
      </c>
      <c r="D116">
        <v>0</v>
      </c>
    </row>
    <row r="117" spans="1:4" x14ac:dyDescent="0.25">
      <c r="A117">
        <v>116</v>
      </c>
      <c r="B117" t="s">
        <v>5</v>
      </c>
      <c r="C117">
        <v>26</v>
      </c>
      <c r="D117">
        <v>0</v>
      </c>
    </row>
    <row r="118" spans="1:4" x14ac:dyDescent="0.25">
      <c r="A118">
        <v>117</v>
      </c>
      <c r="B118" t="s">
        <v>5</v>
      </c>
      <c r="C118">
        <v>27</v>
      </c>
      <c r="D118">
        <v>0</v>
      </c>
    </row>
    <row r="119" spans="1:4" x14ac:dyDescent="0.25">
      <c r="A119">
        <v>118</v>
      </c>
      <c r="B119" t="s">
        <v>5</v>
      </c>
      <c r="C119">
        <v>28</v>
      </c>
      <c r="D119">
        <v>0</v>
      </c>
    </row>
    <row r="120" spans="1:4" x14ac:dyDescent="0.25">
      <c r="A120">
        <v>119</v>
      </c>
      <c r="B120" t="s">
        <v>5</v>
      </c>
      <c r="C120">
        <v>29</v>
      </c>
      <c r="D120">
        <v>0</v>
      </c>
    </row>
    <row r="121" spans="1:4" x14ac:dyDescent="0.25">
      <c r="A121">
        <v>120</v>
      </c>
      <c r="B121" t="s">
        <v>5</v>
      </c>
      <c r="C121">
        <v>30</v>
      </c>
      <c r="D121">
        <v>0</v>
      </c>
    </row>
    <row r="122" spans="1:4" x14ac:dyDescent="0.25">
      <c r="A122">
        <v>121</v>
      </c>
      <c r="B122" t="s">
        <v>6</v>
      </c>
      <c r="C122">
        <v>1</v>
      </c>
      <c r="D122">
        <v>0</v>
      </c>
    </row>
    <row r="123" spans="1:4" x14ac:dyDescent="0.25">
      <c r="A123">
        <v>122</v>
      </c>
      <c r="B123" t="s">
        <v>6</v>
      </c>
      <c r="C123">
        <v>2</v>
      </c>
      <c r="D123">
        <v>0</v>
      </c>
    </row>
    <row r="124" spans="1:4" x14ac:dyDescent="0.25">
      <c r="A124">
        <v>123</v>
      </c>
      <c r="B124" t="s">
        <v>6</v>
      </c>
      <c r="C124">
        <v>3</v>
      </c>
      <c r="D124">
        <v>0</v>
      </c>
    </row>
    <row r="125" spans="1:4" x14ac:dyDescent="0.25">
      <c r="A125">
        <v>124</v>
      </c>
      <c r="B125" t="s">
        <v>6</v>
      </c>
      <c r="C125">
        <v>4</v>
      </c>
      <c r="D125">
        <v>4</v>
      </c>
    </row>
    <row r="126" spans="1:4" x14ac:dyDescent="0.25">
      <c r="A126">
        <v>125</v>
      </c>
      <c r="B126" t="s">
        <v>6</v>
      </c>
      <c r="C126">
        <v>5</v>
      </c>
      <c r="D126">
        <v>4</v>
      </c>
    </row>
    <row r="127" spans="1:4" x14ac:dyDescent="0.25">
      <c r="A127">
        <v>126</v>
      </c>
      <c r="B127" t="s">
        <v>6</v>
      </c>
      <c r="C127">
        <v>6</v>
      </c>
      <c r="D127">
        <v>5</v>
      </c>
    </row>
    <row r="128" spans="1:4" x14ac:dyDescent="0.25">
      <c r="A128">
        <v>127</v>
      </c>
      <c r="B128" t="s">
        <v>6</v>
      </c>
      <c r="C128">
        <v>7</v>
      </c>
      <c r="D128">
        <v>5</v>
      </c>
    </row>
    <row r="129" spans="1:4" x14ac:dyDescent="0.25">
      <c r="A129">
        <v>128</v>
      </c>
      <c r="B129" t="s">
        <v>6</v>
      </c>
      <c r="C129">
        <v>8</v>
      </c>
      <c r="D129">
        <v>5</v>
      </c>
    </row>
    <row r="130" spans="1:4" x14ac:dyDescent="0.25">
      <c r="A130">
        <v>129</v>
      </c>
      <c r="B130" t="s">
        <v>6</v>
      </c>
      <c r="C130">
        <v>9</v>
      </c>
      <c r="D130">
        <v>4</v>
      </c>
    </row>
    <row r="131" spans="1:4" x14ac:dyDescent="0.25">
      <c r="A131">
        <v>130</v>
      </c>
      <c r="B131" t="s">
        <v>6</v>
      </c>
      <c r="C131">
        <v>10</v>
      </c>
      <c r="D131">
        <v>4</v>
      </c>
    </row>
    <row r="132" spans="1:4" x14ac:dyDescent="0.25">
      <c r="A132">
        <v>131</v>
      </c>
      <c r="B132" t="s">
        <v>6</v>
      </c>
      <c r="C132">
        <v>11</v>
      </c>
      <c r="D132">
        <v>3</v>
      </c>
    </row>
    <row r="133" spans="1:4" x14ac:dyDescent="0.25">
      <c r="A133">
        <v>132</v>
      </c>
      <c r="B133" t="s">
        <v>6</v>
      </c>
      <c r="C133">
        <v>12</v>
      </c>
      <c r="D133">
        <v>2</v>
      </c>
    </row>
    <row r="134" spans="1:4" x14ac:dyDescent="0.25">
      <c r="A134">
        <v>133</v>
      </c>
      <c r="B134" t="s">
        <v>6</v>
      </c>
      <c r="C134">
        <v>13</v>
      </c>
      <c r="D134">
        <v>1</v>
      </c>
    </row>
    <row r="135" spans="1:4" x14ac:dyDescent="0.25">
      <c r="A135">
        <v>134</v>
      </c>
      <c r="B135" t="s">
        <v>6</v>
      </c>
      <c r="C135">
        <v>14</v>
      </c>
      <c r="D135">
        <v>1</v>
      </c>
    </row>
    <row r="136" spans="1:4" x14ac:dyDescent="0.25">
      <c r="A136">
        <v>135</v>
      </c>
      <c r="B136" t="s">
        <v>6</v>
      </c>
      <c r="C136">
        <v>15</v>
      </c>
      <c r="D136">
        <v>0</v>
      </c>
    </row>
    <row r="137" spans="1:4" x14ac:dyDescent="0.25">
      <c r="A137">
        <v>136</v>
      </c>
      <c r="B137" t="s">
        <v>6</v>
      </c>
      <c r="C137">
        <v>16</v>
      </c>
      <c r="D137">
        <v>0</v>
      </c>
    </row>
    <row r="138" spans="1:4" x14ac:dyDescent="0.25">
      <c r="A138">
        <v>137</v>
      </c>
      <c r="B138" t="s">
        <v>6</v>
      </c>
      <c r="C138">
        <v>17</v>
      </c>
      <c r="D138">
        <v>0</v>
      </c>
    </row>
    <row r="139" spans="1:4" x14ac:dyDescent="0.25">
      <c r="A139">
        <v>138</v>
      </c>
      <c r="B139" t="s">
        <v>6</v>
      </c>
      <c r="C139">
        <v>18</v>
      </c>
      <c r="D139">
        <v>0</v>
      </c>
    </row>
    <row r="140" spans="1:4" x14ac:dyDescent="0.25">
      <c r="A140">
        <v>139</v>
      </c>
      <c r="B140" t="s">
        <v>6</v>
      </c>
      <c r="C140">
        <v>19</v>
      </c>
      <c r="D140">
        <v>0</v>
      </c>
    </row>
    <row r="141" spans="1:4" x14ac:dyDescent="0.25">
      <c r="A141">
        <v>140</v>
      </c>
      <c r="B141" t="s">
        <v>6</v>
      </c>
      <c r="C141">
        <v>20</v>
      </c>
      <c r="D141">
        <v>0</v>
      </c>
    </row>
    <row r="142" spans="1:4" x14ac:dyDescent="0.25">
      <c r="A142">
        <v>141</v>
      </c>
      <c r="B142" t="s">
        <v>6</v>
      </c>
      <c r="C142">
        <v>21</v>
      </c>
      <c r="D142">
        <v>0</v>
      </c>
    </row>
    <row r="143" spans="1:4" x14ac:dyDescent="0.25">
      <c r="A143">
        <v>142</v>
      </c>
      <c r="B143" t="s">
        <v>6</v>
      </c>
      <c r="C143">
        <v>22</v>
      </c>
      <c r="D143">
        <v>0</v>
      </c>
    </row>
    <row r="144" spans="1:4" x14ac:dyDescent="0.25">
      <c r="A144">
        <v>143</v>
      </c>
      <c r="B144" t="s">
        <v>6</v>
      </c>
      <c r="C144">
        <v>23</v>
      </c>
      <c r="D144">
        <v>0</v>
      </c>
    </row>
    <row r="145" spans="1:4" x14ac:dyDescent="0.25">
      <c r="A145">
        <v>144</v>
      </c>
      <c r="B145" t="s">
        <v>6</v>
      </c>
      <c r="C145">
        <v>24</v>
      </c>
      <c r="D145">
        <v>0</v>
      </c>
    </row>
    <row r="146" spans="1:4" x14ac:dyDescent="0.25">
      <c r="A146">
        <v>145</v>
      </c>
      <c r="B146" t="s">
        <v>6</v>
      </c>
      <c r="C146">
        <v>25</v>
      </c>
      <c r="D146">
        <v>0</v>
      </c>
    </row>
    <row r="147" spans="1:4" x14ac:dyDescent="0.25">
      <c r="A147">
        <v>146</v>
      </c>
      <c r="B147" t="s">
        <v>6</v>
      </c>
      <c r="C147">
        <v>26</v>
      </c>
      <c r="D147">
        <v>0</v>
      </c>
    </row>
    <row r="148" spans="1:4" x14ac:dyDescent="0.25">
      <c r="A148">
        <v>147</v>
      </c>
      <c r="B148" t="s">
        <v>6</v>
      </c>
      <c r="C148">
        <v>27</v>
      </c>
      <c r="D148">
        <v>0</v>
      </c>
    </row>
    <row r="149" spans="1:4" x14ac:dyDescent="0.25">
      <c r="A149">
        <v>148</v>
      </c>
      <c r="B149" t="s">
        <v>6</v>
      </c>
      <c r="C149">
        <v>28</v>
      </c>
      <c r="D149">
        <v>0</v>
      </c>
    </row>
    <row r="150" spans="1:4" x14ac:dyDescent="0.25">
      <c r="A150">
        <v>149</v>
      </c>
      <c r="B150" t="s">
        <v>6</v>
      </c>
      <c r="C150">
        <v>29</v>
      </c>
      <c r="D150">
        <v>0</v>
      </c>
    </row>
    <row r="151" spans="1:4" x14ac:dyDescent="0.25">
      <c r="A151">
        <v>150</v>
      </c>
      <c r="B151" t="s">
        <v>6</v>
      </c>
      <c r="C151">
        <v>30</v>
      </c>
      <c r="D151">
        <v>0</v>
      </c>
    </row>
    <row r="152" spans="1:4" x14ac:dyDescent="0.25">
      <c r="A152">
        <v>151</v>
      </c>
      <c r="B152" t="s">
        <v>7</v>
      </c>
      <c r="C152">
        <v>1</v>
      </c>
      <c r="D152">
        <v>0</v>
      </c>
    </row>
    <row r="153" spans="1:4" x14ac:dyDescent="0.25">
      <c r="A153">
        <v>152</v>
      </c>
      <c r="B153" t="s">
        <v>7</v>
      </c>
      <c r="C153">
        <v>2</v>
      </c>
      <c r="D153">
        <v>0</v>
      </c>
    </row>
    <row r="154" spans="1:4" x14ac:dyDescent="0.25">
      <c r="A154">
        <v>153</v>
      </c>
      <c r="B154" t="s">
        <v>7</v>
      </c>
      <c r="C154">
        <v>3</v>
      </c>
      <c r="D154">
        <v>0</v>
      </c>
    </row>
    <row r="155" spans="1:4" x14ac:dyDescent="0.25">
      <c r="A155">
        <v>154</v>
      </c>
      <c r="B155" t="s">
        <v>7</v>
      </c>
      <c r="C155">
        <v>4</v>
      </c>
      <c r="D155">
        <v>4</v>
      </c>
    </row>
    <row r="156" spans="1:4" x14ac:dyDescent="0.25">
      <c r="A156">
        <v>155</v>
      </c>
      <c r="B156" t="s">
        <v>7</v>
      </c>
      <c r="C156">
        <v>5</v>
      </c>
      <c r="D156">
        <v>5</v>
      </c>
    </row>
    <row r="157" spans="1:4" x14ac:dyDescent="0.25">
      <c r="A157">
        <v>156</v>
      </c>
      <c r="B157" t="s">
        <v>7</v>
      </c>
      <c r="C157">
        <v>6</v>
      </c>
      <c r="D157">
        <v>6</v>
      </c>
    </row>
    <row r="158" spans="1:4" x14ac:dyDescent="0.25">
      <c r="A158">
        <v>157</v>
      </c>
      <c r="B158" t="s">
        <v>7</v>
      </c>
      <c r="C158">
        <v>7</v>
      </c>
      <c r="D158">
        <v>6</v>
      </c>
    </row>
    <row r="159" spans="1:4" x14ac:dyDescent="0.25">
      <c r="A159">
        <v>158</v>
      </c>
      <c r="B159" t="s">
        <v>7</v>
      </c>
      <c r="C159">
        <v>8</v>
      </c>
      <c r="D159">
        <v>5</v>
      </c>
    </row>
    <row r="160" spans="1:4" x14ac:dyDescent="0.25">
      <c r="A160">
        <v>159</v>
      </c>
      <c r="B160" t="s">
        <v>7</v>
      </c>
      <c r="C160">
        <v>9</v>
      </c>
      <c r="D160">
        <v>4</v>
      </c>
    </row>
    <row r="161" spans="1:4" x14ac:dyDescent="0.25">
      <c r="A161">
        <v>160</v>
      </c>
      <c r="B161" t="s">
        <v>7</v>
      </c>
      <c r="C161">
        <v>10</v>
      </c>
      <c r="D161">
        <v>3</v>
      </c>
    </row>
    <row r="162" spans="1:4" x14ac:dyDescent="0.25">
      <c r="A162">
        <v>161</v>
      </c>
      <c r="B162" t="s">
        <v>7</v>
      </c>
      <c r="C162">
        <v>11</v>
      </c>
      <c r="D162">
        <v>0</v>
      </c>
    </row>
    <row r="163" spans="1:4" x14ac:dyDescent="0.25">
      <c r="A163">
        <v>162</v>
      </c>
      <c r="B163" t="s">
        <v>7</v>
      </c>
      <c r="C163">
        <v>12</v>
      </c>
      <c r="D163">
        <v>0</v>
      </c>
    </row>
    <row r="164" spans="1:4" x14ac:dyDescent="0.25">
      <c r="A164">
        <v>163</v>
      </c>
      <c r="B164" t="s">
        <v>7</v>
      </c>
      <c r="C164">
        <v>13</v>
      </c>
      <c r="D164">
        <v>0</v>
      </c>
    </row>
    <row r="165" spans="1:4" x14ac:dyDescent="0.25">
      <c r="A165">
        <v>164</v>
      </c>
      <c r="B165" t="s">
        <v>7</v>
      </c>
      <c r="C165">
        <v>14</v>
      </c>
      <c r="D165">
        <v>0</v>
      </c>
    </row>
    <row r="166" spans="1:4" x14ac:dyDescent="0.25">
      <c r="A166">
        <v>165</v>
      </c>
      <c r="B166" t="s">
        <v>7</v>
      </c>
      <c r="C166">
        <v>15</v>
      </c>
      <c r="D166">
        <v>0</v>
      </c>
    </row>
    <row r="167" spans="1:4" x14ac:dyDescent="0.25">
      <c r="A167">
        <v>166</v>
      </c>
      <c r="B167" t="s">
        <v>7</v>
      </c>
      <c r="C167">
        <v>16</v>
      </c>
      <c r="D167">
        <v>0</v>
      </c>
    </row>
    <row r="168" spans="1:4" x14ac:dyDescent="0.25">
      <c r="A168">
        <v>167</v>
      </c>
      <c r="B168" t="s">
        <v>7</v>
      </c>
      <c r="C168">
        <v>17</v>
      </c>
      <c r="D168">
        <v>0</v>
      </c>
    </row>
    <row r="169" spans="1:4" x14ac:dyDescent="0.25">
      <c r="A169">
        <v>168</v>
      </c>
      <c r="B169" t="s">
        <v>7</v>
      </c>
      <c r="C169">
        <v>18</v>
      </c>
      <c r="D169">
        <v>0</v>
      </c>
    </row>
    <row r="170" spans="1:4" x14ac:dyDescent="0.25">
      <c r="A170">
        <v>169</v>
      </c>
      <c r="B170" t="s">
        <v>7</v>
      </c>
      <c r="C170">
        <v>19</v>
      </c>
      <c r="D170">
        <v>0</v>
      </c>
    </row>
    <row r="171" spans="1:4" x14ac:dyDescent="0.25">
      <c r="A171">
        <v>170</v>
      </c>
      <c r="B171" t="s">
        <v>7</v>
      </c>
      <c r="C171">
        <v>20</v>
      </c>
      <c r="D171">
        <v>0</v>
      </c>
    </row>
    <row r="172" spans="1:4" x14ac:dyDescent="0.25">
      <c r="A172">
        <v>171</v>
      </c>
      <c r="B172" t="s">
        <v>7</v>
      </c>
      <c r="C172">
        <v>21</v>
      </c>
      <c r="D172">
        <v>0</v>
      </c>
    </row>
    <row r="173" spans="1:4" x14ac:dyDescent="0.25">
      <c r="A173">
        <v>172</v>
      </c>
      <c r="B173" t="s">
        <v>7</v>
      </c>
      <c r="C173">
        <v>22</v>
      </c>
      <c r="D173">
        <v>0</v>
      </c>
    </row>
    <row r="174" spans="1:4" x14ac:dyDescent="0.25">
      <c r="A174">
        <v>173</v>
      </c>
      <c r="B174" t="s">
        <v>7</v>
      </c>
      <c r="C174">
        <v>23</v>
      </c>
      <c r="D174">
        <v>0</v>
      </c>
    </row>
    <row r="175" spans="1:4" x14ac:dyDescent="0.25">
      <c r="A175">
        <v>174</v>
      </c>
      <c r="B175" t="s">
        <v>7</v>
      </c>
      <c r="C175">
        <v>24</v>
      </c>
      <c r="D175">
        <v>0</v>
      </c>
    </row>
    <row r="176" spans="1:4" x14ac:dyDescent="0.25">
      <c r="A176">
        <v>175</v>
      </c>
      <c r="B176" t="s">
        <v>7</v>
      </c>
      <c r="C176">
        <v>25</v>
      </c>
      <c r="D176">
        <v>0</v>
      </c>
    </row>
    <row r="177" spans="1:4" x14ac:dyDescent="0.25">
      <c r="A177">
        <v>176</v>
      </c>
      <c r="B177" t="s">
        <v>7</v>
      </c>
      <c r="C177">
        <v>26</v>
      </c>
      <c r="D177">
        <v>0</v>
      </c>
    </row>
    <row r="178" spans="1:4" x14ac:dyDescent="0.25">
      <c r="A178">
        <v>177</v>
      </c>
      <c r="B178" t="s">
        <v>7</v>
      </c>
      <c r="C178">
        <v>27</v>
      </c>
      <c r="D178">
        <v>0</v>
      </c>
    </row>
    <row r="179" spans="1:4" x14ac:dyDescent="0.25">
      <c r="A179">
        <v>178</v>
      </c>
      <c r="B179" t="s">
        <v>7</v>
      </c>
      <c r="C179">
        <v>28</v>
      </c>
      <c r="D179">
        <v>0</v>
      </c>
    </row>
    <row r="180" spans="1:4" x14ac:dyDescent="0.25">
      <c r="A180">
        <v>179</v>
      </c>
      <c r="B180" t="s">
        <v>7</v>
      </c>
      <c r="C180">
        <v>29</v>
      </c>
      <c r="D180">
        <v>0</v>
      </c>
    </row>
    <row r="181" spans="1:4" x14ac:dyDescent="0.25">
      <c r="A181">
        <v>180</v>
      </c>
      <c r="B181" t="s">
        <v>7</v>
      </c>
      <c r="C181">
        <v>30</v>
      </c>
      <c r="D181">
        <v>0</v>
      </c>
    </row>
    <row r="182" spans="1:4" x14ac:dyDescent="0.25">
      <c r="A182">
        <v>181</v>
      </c>
      <c r="B182" t="s">
        <v>8</v>
      </c>
      <c r="C182">
        <v>1</v>
      </c>
      <c r="D182">
        <v>0</v>
      </c>
    </row>
    <row r="183" spans="1:4" x14ac:dyDescent="0.25">
      <c r="A183">
        <v>182</v>
      </c>
      <c r="B183" t="s">
        <v>8</v>
      </c>
      <c r="C183">
        <v>2</v>
      </c>
      <c r="D183">
        <v>0</v>
      </c>
    </row>
    <row r="184" spans="1:4" x14ac:dyDescent="0.25">
      <c r="A184">
        <v>183</v>
      </c>
      <c r="B184" t="s">
        <v>8</v>
      </c>
      <c r="C184">
        <v>3</v>
      </c>
      <c r="D184">
        <v>0</v>
      </c>
    </row>
    <row r="185" spans="1:4" x14ac:dyDescent="0.25">
      <c r="A185">
        <v>184</v>
      </c>
      <c r="B185" t="s">
        <v>8</v>
      </c>
      <c r="C185">
        <v>4</v>
      </c>
      <c r="D185">
        <v>0</v>
      </c>
    </row>
    <row r="186" spans="1:4" x14ac:dyDescent="0.25">
      <c r="A186">
        <v>185</v>
      </c>
      <c r="B186" t="s">
        <v>8</v>
      </c>
      <c r="C186">
        <v>5</v>
      </c>
      <c r="D186">
        <v>0</v>
      </c>
    </row>
    <row r="187" spans="1:4" x14ac:dyDescent="0.25">
      <c r="A187">
        <v>186</v>
      </c>
      <c r="B187" t="s">
        <v>8</v>
      </c>
      <c r="C187">
        <v>6</v>
      </c>
      <c r="D187">
        <v>5</v>
      </c>
    </row>
    <row r="188" spans="1:4" x14ac:dyDescent="0.25">
      <c r="A188">
        <v>187</v>
      </c>
      <c r="B188" t="s">
        <v>8</v>
      </c>
      <c r="C188">
        <v>7</v>
      </c>
      <c r="D188">
        <v>5</v>
      </c>
    </row>
    <row r="189" spans="1:4" x14ac:dyDescent="0.25">
      <c r="A189">
        <v>188</v>
      </c>
      <c r="B189" t="s">
        <v>8</v>
      </c>
      <c r="C189">
        <v>8</v>
      </c>
      <c r="D189">
        <v>6</v>
      </c>
    </row>
    <row r="190" spans="1:4" x14ac:dyDescent="0.25">
      <c r="A190">
        <v>189</v>
      </c>
      <c r="B190" t="s">
        <v>8</v>
      </c>
      <c r="C190">
        <v>9</v>
      </c>
      <c r="D190">
        <v>7</v>
      </c>
    </row>
    <row r="191" spans="1:4" x14ac:dyDescent="0.25">
      <c r="A191">
        <v>190</v>
      </c>
      <c r="B191" t="s">
        <v>8</v>
      </c>
      <c r="C191">
        <v>10</v>
      </c>
      <c r="D191">
        <v>8</v>
      </c>
    </row>
    <row r="192" spans="1:4" x14ac:dyDescent="0.25">
      <c r="A192">
        <v>191</v>
      </c>
      <c r="B192" t="s">
        <v>8</v>
      </c>
      <c r="C192">
        <v>11</v>
      </c>
      <c r="D192">
        <v>10</v>
      </c>
    </row>
    <row r="193" spans="1:4" x14ac:dyDescent="0.25">
      <c r="A193">
        <v>192</v>
      </c>
      <c r="B193" t="s">
        <v>8</v>
      </c>
      <c r="C193">
        <v>12</v>
      </c>
      <c r="D193">
        <v>11</v>
      </c>
    </row>
    <row r="194" spans="1:4" x14ac:dyDescent="0.25">
      <c r="A194">
        <v>193</v>
      </c>
      <c r="B194" t="s">
        <v>8</v>
      </c>
      <c r="C194">
        <v>13</v>
      </c>
      <c r="D194">
        <v>11</v>
      </c>
    </row>
    <row r="195" spans="1:4" x14ac:dyDescent="0.25">
      <c r="A195">
        <v>194</v>
      </c>
      <c r="B195" t="s">
        <v>8</v>
      </c>
      <c r="C195">
        <v>14</v>
      </c>
      <c r="D195">
        <v>12</v>
      </c>
    </row>
    <row r="196" spans="1:4" x14ac:dyDescent="0.25">
      <c r="A196">
        <v>195</v>
      </c>
      <c r="B196" t="s">
        <v>8</v>
      </c>
      <c r="C196">
        <v>15</v>
      </c>
      <c r="D196">
        <v>14</v>
      </c>
    </row>
    <row r="197" spans="1:4" x14ac:dyDescent="0.25">
      <c r="A197">
        <v>196</v>
      </c>
      <c r="B197" t="s">
        <v>8</v>
      </c>
      <c r="C197">
        <v>16</v>
      </c>
      <c r="D197">
        <v>15</v>
      </c>
    </row>
    <row r="198" spans="1:4" x14ac:dyDescent="0.25">
      <c r="A198">
        <v>197</v>
      </c>
      <c r="B198" t="s">
        <v>8</v>
      </c>
      <c r="C198">
        <v>17</v>
      </c>
      <c r="D198">
        <v>3</v>
      </c>
    </row>
    <row r="199" spans="1:4" x14ac:dyDescent="0.25">
      <c r="A199">
        <v>198</v>
      </c>
      <c r="B199" t="s">
        <v>8</v>
      </c>
      <c r="C199">
        <v>18</v>
      </c>
      <c r="D199">
        <v>0</v>
      </c>
    </row>
    <row r="200" spans="1:4" x14ac:dyDescent="0.25">
      <c r="A200">
        <v>199</v>
      </c>
      <c r="B200" t="s">
        <v>8</v>
      </c>
      <c r="C200">
        <v>19</v>
      </c>
      <c r="D200">
        <v>0</v>
      </c>
    </row>
    <row r="201" spans="1:4" x14ac:dyDescent="0.25">
      <c r="A201">
        <v>200</v>
      </c>
      <c r="B201" t="s">
        <v>8</v>
      </c>
      <c r="C201">
        <v>20</v>
      </c>
      <c r="D201">
        <v>0</v>
      </c>
    </row>
    <row r="202" spans="1:4" x14ac:dyDescent="0.25">
      <c r="A202">
        <v>201</v>
      </c>
      <c r="B202" t="s">
        <v>8</v>
      </c>
      <c r="C202">
        <v>21</v>
      </c>
      <c r="D202">
        <v>0</v>
      </c>
    </row>
    <row r="203" spans="1:4" x14ac:dyDescent="0.25">
      <c r="A203">
        <v>202</v>
      </c>
      <c r="B203" t="s">
        <v>8</v>
      </c>
      <c r="C203">
        <v>22</v>
      </c>
      <c r="D203">
        <v>0</v>
      </c>
    </row>
    <row r="204" spans="1:4" x14ac:dyDescent="0.25">
      <c r="A204">
        <v>203</v>
      </c>
      <c r="B204" t="s">
        <v>8</v>
      </c>
      <c r="C204">
        <v>23</v>
      </c>
      <c r="D204">
        <v>0</v>
      </c>
    </row>
    <row r="205" spans="1:4" x14ac:dyDescent="0.25">
      <c r="A205">
        <v>204</v>
      </c>
      <c r="B205" t="s">
        <v>8</v>
      </c>
      <c r="C205">
        <v>24</v>
      </c>
      <c r="D205">
        <v>0</v>
      </c>
    </row>
    <row r="206" spans="1:4" x14ac:dyDescent="0.25">
      <c r="A206">
        <v>205</v>
      </c>
      <c r="B206" t="s">
        <v>8</v>
      </c>
      <c r="C206">
        <v>25</v>
      </c>
      <c r="D206">
        <v>0</v>
      </c>
    </row>
    <row r="207" spans="1:4" x14ac:dyDescent="0.25">
      <c r="A207">
        <v>206</v>
      </c>
      <c r="B207" t="s">
        <v>8</v>
      </c>
      <c r="C207">
        <v>26</v>
      </c>
      <c r="D207">
        <v>0</v>
      </c>
    </row>
    <row r="208" spans="1:4" x14ac:dyDescent="0.25">
      <c r="A208">
        <v>207</v>
      </c>
      <c r="B208" t="s">
        <v>8</v>
      </c>
      <c r="C208">
        <v>27</v>
      </c>
      <c r="D208">
        <v>0</v>
      </c>
    </row>
    <row r="209" spans="1:4" x14ac:dyDescent="0.25">
      <c r="A209">
        <v>208</v>
      </c>
      <c r="B209" t="s">
        <v>8</v>
      </c>
      <c r="C209">
        <v>28</v>
      </c>
      <c r="D209">
        <v>0</v>
      </c>
    </row>
    <row r="210" spans="1:4" x14ac:dyDescent="0.25">
      <c r="A210">
        <v>209</v>
      </c>
      <c r="B210" t="s">
        <v>8</v>
      </c>
      <c r="C210">
        <v>29</v>
      </c>
      <c r="D210">
        <v>0</v>
      </c>
    </row>
    <row r="211" spans="1:4" x14ac:dyDescent="0.25">
      <c r="A211">
        <v>210</v>
      </c>
      <c r="B211" t="s">
        <v>8</v>
      </c>
      <c r="C211">
        <v>30</v>
      </c>
      <c r="D211">
        <v>0</v>
      </c>
    </row>
    <row r="212" spans="1:4" x14ac:dyDescent="0.25">
      <c r="A212">
        <v>211</v>
      </c>
      <c r="B212" t="s">
        <v>9</v>
      </c>
      <c r="C212">
        <v>1</v>
      </c>
      <c r="D212">
        <v>0</v>
      </c>
    </row>
    <row r="213" spans="1:4" x14ac:dyDescent="0.25">
      <c r="A213">
        <v>212</v>
      </c>
      <c r="B213" t="s">
        <v>9</v>
      </c>
      <c r="C213">
        <v>2</v>
      </c>
      <c r="D213">
        <v>0</v>
      </c>
    </row>
    <row r="214" spans="1:4" x14ac:dyDescent="0.25">
      <c r="A214">
        <v>213</v>
      </c>
      <c r="B214" t="s">
        <v>9</v>
      </c>
      <c r="C214">
        <v>3</v>
      </c>
      <c r="D214">
        <v>0</v>
      </c>
    </row>
    <row r="215" spans="1:4" x14ac:dyDescent="0.25">
      <c r="A215">
        <v>214</v>
      </c>
      <c r="B215" t="s">
        <v>9</v>
      </c>
      <c r="C215">
        <v>4</v>
      </c>
      <c r="D215">
        <v>0</v>
      </c>
    </row>
    <row r="216" spans="1:4" x14ac:dyDescent="0.25">
      <c r="A216">
        <v>215</v>
      </c>
      <c r="B216" t="s">
        <v>9</v>
      </c>
      <c r="C216">
        <v>5</v>
      </c>
      <c r="D216">
        <v>0</v>
      </c>
    </row>
    <row r="217" spans="1:4" x14ac:dyDescent="0.25">
      <c r="A217">
        <v>216</v>
      </c>
      <c r="B217" t="s">
        <v>9</v>
      </c>
      <c r="C217">
        <v>6</v>
      </c>
      <c r="D217">
        <v>3</v>
      </c>
    </row>
    <row r="218" spans="1:4" x14ac:dyDescent="0.25">
      <c r="A218">
        <v>217</v>
      </c>
      <c r="B218" t="s">
        <v>9</v>
      </c>
      <c r="C218">
        <v>7</v>
      </c>
      <c r="D218">
        <v>4</v>
      </c>
    </row>
    <row r="219" spans="1:4" x14ac:dyDescent="0.25">
      <c r="A219">
        <v>218</v>
      </c>
      <c r="B219" t="s">
        <v>9</v>
      </c>
      <c r="C219">
        <v>8</v>
      </c>
      <c r="D219">
        <v>5</v>
      </c>
    </row>
    <row r="220" spans="1:4" x14ac:dyDescent="0.25">
      <c r="A220">
        <v>219</v>
      </c>
      <c r="B220" t="s">
        <v>9</v>
      </c>
      <c r="C220">
        <v>9</v>
      </c>
      <c r="D220">
        <v>5</v>
      </c>
    </row>
    <row r="221" spans="1:4" x14ac:dyDescent="0.25">
      <c r="A221">
        <v>220</v>
      </c>
      <c r="B221" t="s">
        <v>9</v>
      </c>
      <c r="C221">
        <v>10</v>
      </c>
      <c r="D221">
        <v>4</v>
      </c>
    </row>
    <row r="222" spans="1:4" x14ac:dyDescent="0.25">
      <c r="A222">
        <v>221</v>
      </c>
      <c r="B222" t="s">
        <v>9</v>
      </c>
      <c r="C222">
        <v>11</v>
      </c>
      <c r="D222">
        <v>3</v>
      </c>
    </row>
    <row r="223" spans="1:4" x14ac:dyDescent="0.25">
      <c r="A223">
        <v>222</v>
      </c>
      <c r="B223" t="s">
        <v>9</v>
      </c>
      <c r="C223">
        <v>12</v>
      </c>
      <c r="D223">
        <v>0</v>
      </c>
    </row>
    <row r="224" spans="1:4" x14ac:dyDescent="0.25">
      <c r="A224">
        <v>223</v>
      </c>
      <c r="B224" t="s">
        <v>9</v>
      </c>
      <c r="C224">
        <v>13</v>
      </c>
      <c r="D224">
        <v>0</v>
      </c>
    </row>
    <row r="225" spans="1:4" x14ac:dyDescent="0.25">
      <c r="A225">
        <v>224</v>
      </c>
      <c r="B225" t="s">
        <v>9</v>
      </c>
      <c r="C225">
        <v>14</v>
      </c>
      <c r="D225">
        <v>0</v>
      </c>
    </row>
    <row r="226" spans="1:4" x14ac:dyDescent="0.25">
      <c r="A226">
        <v>225</v>
      </c>
      <c r="B226" t="s">
        <v>9</v>
      </c>
      <c r="C226">
        <v>15</v>
      </c>
      <c r="D226">
        <v>0</v>
      </c>
    </row>
    <row r="227" spans="1:4" x14ac:dyDescent="0.25">
      <c r="A227">
        <v>226</v>
      </c>
      <c r="B227" t="s">
        <v>9</v>
      </c>
      <c r="C227">
        <v>16</v>
      </c>
      <c r="D227">
        <v>0</v>
      </c>
    </row>
    <row r="228" spans="1:4" x14ac:dyDescent="0.25">
      <c r="A228">
        <v>227</v>
      </c>
      <c r="B228" t="s">
        <v>9</v>
      </c>
      <c r="C228">
        <v>17</v>
      </c>
      <c r="D228">
        <v>0</v>
      </c>
    </row>
    <row r="229" spans="1:4" x14ac:dyDescent="0.25">
      <c r="A229">
        <v>228</v>
      </c>
      <c r="B229" t="s">
        <v>9</v>
      </c>
      <c r="C229">
        <v>18</v>
      </c>
      <c r="D229">
        <v>0</v>
      </c>
    </row>
    <row r="230" spans="1:4" x14ac:dyDescent="0.25">
      <c r="A230">
        <v>229</v>
      </c>
      <c r="B230" t="s">
        <v>9</v>
      </c>
      <c r="C230">
        <v>19</v>
      </c>
      <c r="D230">
        <v>0</v>
      </c>
    </row>
    <row r="231" spans="1:4" x14ac:dyDescent="0.25">
      <c r="A231">
        <v>230</v>
      </c>
      <c r="B231" t="s">
        <v>9</v>
      </c>
      <c r="C231">
        <v>20</v>
      </c>
      <c r="D231">
        <v>0</v>
      </c>
    </row>
    <row r="232" spans="1:4" x14ac:dyDescent="0.25">
      <c r="A232">
        <v>231</v>
      </c>
      <c r="B232" t="s">
        <v>9</v>
      </c>
      <c r="C232">
        <v>21</v>
      </c>
      <c r="D232">
        <v>0</v>
      </c>
    </row>
    <row r="233" spans="1:4" x14ac:dyDescent="0.25">
      <c r="A233">
        <v>232</v>
      </c>
      <c r="B233" t="s">
        <v>9</v>
      </c>
      <c r="C233">
        <v>22</v>
      </c>
      <c r="D233">
        <v>0</v>
      </c>
    </row>
    <row r="234" spans="1:4" x14ac:dyDescent="0.25">
      <c r="A234">
        <v>233</v>
      </c>
      <c r="B234" t="s">
        <v>9</v>
      </c>
      <c r="C234">
        <v>23</v>
      </c>
      <c r="D234">
        <v>0</v>
      </c>
    </row>
    <row r="235" spans="1:4" x14ac:dyDescent="0.25">
      <c r="A235">
        <v>234</v>
      </c>
      <c r="B235" t="s">
        <v>9</v>
      </c>
      <c r="C235">
        <v>24</v>
      </c>
      <c r="D235">
        <v>0</v>
      </c>
    </row>
    <row r="236" spans="1:4" x14ac:dyDescent="0.25">
      <c r="A236">
        <v>235</v>
      </c>
      <c r="B236" t="s">
        <v>9</v>
      </c>
      <c r="C236">
        <v>25</v>
      </c>
      <c r="D236">
        <v>0</v>
      </c>
    </row>
    <row r="237" spans="1:4" x14ac:dyDescent="0.25">
      <c r="A237">
        <v>236</v>
      </c>
      <c r="B237" t="s">
        <v>9</v>
      </c>
      <c r="C237">
        <v>26</v>
      </c>
      <c r="D237">
        <v>0</v>
      </c>
    </row>
    <row r="238" spans="1:4" x14ac:dyDescent="0.25">
      <c r="A238">
        <v>237</v>
      </c>
      <c r="B238" t="s">
        <v>9</v>
      </c>
      <c r="C238">
        <v>27</v>
      </c>
      <c r="D238">
        <v>0</v>
      </c>
    </row>
    <row r="239" spans="1:4" x14ac:dyDescent="0.25">
      <c r="A239">
        <v>238</v>
      </c>
      <c r="B239" t="s">
        <v>9</v>
      </c>
      <c r="C239">
        <v>28</v>
      </c>
      <c r="D239">
        <v>0</v>
      </c>
    </row>
    <row r="240" spans="1:4" x14ac:dyDescent="0.25">
      <c r="A240">
        <v>239</v>
      </c>
      <c r="B240" t="s">
        <v>9</v>
      </c>
      <c r="C240">
        <v>29</v>
      </c>
      <c r="D240">
        <v>0</v>
      </c>
    </row>
    <row r="241" spans="1:4" x14ac:dyDescent="0.25">
      <c r="A241">
        <v>240</v>
      </c>
      <c r="B241" t="s">
        <v>9</v>
      </c>
      <c r="C241">
        <v>30</v>
      </c>
      <c r="D241">
        <v>0</v>
      </c>
    </row>
    <row r="242" spans="1:4" x14ac:dyDescent="0.25">
      <c r="A242">
        <v>241</v>
      </c>
      <c r="B242" t="s">
        <v>10</v>
      </c>
      <c r="C242">
        <v>1</v>
      </c>
      <c r="D242">
        <v>0</v>
      </c>
    </row>
    <row r="243" spans="1:4" x14ac:dyDescent="0.25">
      <c r="A243">
        <v>242</v>
      </c>
      <c r="B243" t="s">
        <v>10</v>
      </c>
      <c r="C243">
        <v>2</v>
      </c>
      <c r="D243">
        <v>0</v>
      </c>
    </row>
    <row r="244" spans="1:4" x14ac:dyDescent="0.25">
      <c r="A244">
        <v>243</v>
      </c>
      <c r="B244" t="s">
        <v>10</v>
      </c>
      <c r="C244">
        <v>3</v>
      </c>
      <c r="D244">
        <v>0</v>
      </c>
    </row>
    <row r="245" spans="1:4" x14ac:dyDescent="0.25">
      <c r="A245">
        <v>244</v>
      </c>
      <c r="B245" t="s">
        <v>10</v>
      </c>
      <c r="C245">
        <v>4</v>
      </c>
      <c r="D245">
        <v>0</v>
      </c>
    </row>
    <row r="246" spans="1:4" x14ac:dyDescent="0.25">
      <c r="A246">
        <v>245</v>
      </c>
      <c r="B246" t="s">
        <v>10</v>
      </c>
      <c r="C246">
        <v>5</v>
      </c>
      <c r="D246">
        <v>0</v>
      </c>
    </row>
    <row r="247" spans="1:4" x14ac:dyDescent="0.25">
      <c r="A247">
        <v>246</v>
      </c>
      <c r="B247" t="s">
        <v>10</v>
      </c>
      <c r="C247">
        <v>6</v>
      </c>
      <c r="D247">
        <v>0</v>
      </c>
    </row>
    <row r="248" spans="1:4" x14ac:dyDescent="0.25">
      <c r="A248">
        <v>247</v>
      </c>
      <c r="B248" t="s">
        <v>10</v>
      </c>
      <c r="C248">
        <v>7</v>
      </c>
      <c r="D248">
        <v>5</v>
      </c>
    </row>
    <row r="249" spans="1:4" x14ac:dyDescent="0.25">
      <c r="A249">
        <v>248</v>
      </c>
      <c r="B249" t="s">
        <v>10</v>
      </c>
      <c r="C249">
        <v>8</v>
      </c>
      <c r="D249">
        <v>6</v>
      </c>
    </row>
    <row r="250" spans="1:4" x14ac:dyDescent="0.25">
      <c r="A250">
        <v>249</v>
      </c>
      <c r="B250" t="s">
        <v>10</v>
      </c>
      <c r="C250">
        <v>9</v>
      </c>
      <c r="D250">
        <v>6</v>
      </c>
    </row>
    <row r="251" spans="1:4" x14ac:dyDescent="0.25">
      <c r="A251">
        <v>250</v>
      </c>
      <c r="B251" t="s">
        <v>10</v>
      </c>
      <c r="C251">
        <v>10</v>
      </c>
      <c r="D251">
        <v>7</v>
      </c>
    </row>
    <row r="252" spans="1:4" x14ac:dyDescent="0.25">
      <c r="A252">
        <v>251</v>
      </c>
      <c r="B252" t="s">
        <v>10</v>
      </c>
      <c r="C252">
        <v>11</v>
      </c>
      <c r="D252">
        <v>7</v>
      </c>
    </row>
    <row r="253" spans="1:4" x14ac:dyDescent="0.25">
      <c r="A253">
        <v>252</v>
      </c>
      <c r="B253" t="s">
        <v>10</v>
      </c>
      <c r="C253">
        <v>12</v>
      </c>
      <c r="D253">
        <v>8</v>
      </c>
    </row>
    <row r="254" spans="1:4" x14ac:dyDescent="0.25">
      <c r="A254">
        <v>253</v>
      </c>
      <c r="B254" t="s">
        <v>10</v>
      </c>
      <c r="C254">
        <v>13</v>
      </c>
      <c r="D254">
        <v>8</v>
      </c>
    </row>
    <row r="255" spans="1:4" x14ac:dyDescent="0.25">
      <c r="A255">
        <v>254</v>
      </c>
      <c r="B255" t="s">
        <v>10</v>
      </c>
      <c r="C255">
        <v>14</v>
      </c>
      <c r="D255">
        <v>9</v>
      </c>
    </row>
    <row r="256" spans="1:4" x14ac:dyDescent="0.25">
      <c r="A256">
        <v>255</v>
      </c>
      <c r="B256" t="s">
        <v>10</v>
      </c>
      <c r="C256">
        <v>15</v>
      </c>
      <c r="D256">
        <v>9</v>
      </c>
    </row>
    <row r="257" spans="1:4" x14ac:dyDescent="0.25">
      <c r="A257">
        <v>256</v>
      </c>
      <c r="B257" t="s">
        <v>10</v>
      </c>
      <c r="C257">
        <v>16</v>
      </c>
      <c r="D257">
        <v>9</v>
      </c>
    </row>
    <row r="258" spans="1:4" x14ac:dyDescent="0.25">
      <c r="A258">
        <v>257</v>
      </c>
      <c r="B258" t="s">
        <v>10</v>
      </c>
      <c r="C258">
        <v>17</v>
      </c>
      <c r="D258">
        <v>9</v>
      </c>
    </row>
    <row r="259" spans="1:4" x14ac:dyDescent="0.25">
      <c r="A259">
        <v>258</v>
      </c>
      <c r="B259" t="s">
        <v>10</v>
      </c>
      <c r="C259">
        <v>18</v>
      </c>
      <c r="D259">
        <v>9</v>
      </c>
    </row>
    <row r="260" spans="1:4" x14ac:dyDescent="0.25">
      <c r="A260">
        <v>259</v>
      </c>
      <c r="B260" t="s">
        <v>10</v>
      </c>
      <c r="C260">
        <v>19</v>
      </c>
      <c r="D260">
        <v>9</v>
      </c>
    </row>
    <row r="261" spans="1:4" x14ac:dyDescent="0.25">
      <c r="A261">
        <v>260</v>
      </c>
      <c r="B261" t="s">
        <v>10</v>
      </c>
      <c r="C261">
        <v>20</v>
      </c>
      <c r="D261">
        <v>6</v>
      </c>
    </row>
    <row r="262" spans="1:4" x14ac:dyDescent="0.25">
      <c r="A262">
        <v>261</v>
      </c>
      <c r="B262" t="s">
        <v>10</v>
      </c>
      <c r="C262">
        <v>21</v>
      </c>
      <c r="D262">
        <v>6</v>
      </c>
    </row>
    <row r="263" spans="1:4" x14ac:dyDescent="0.25">
      <c r="A263">
        <v>262</v>
      </c>
      <c r="B263" t="s">
        <v>10</v>
      </c>
      <c r="C263">
        <v>22</v>
      </c>
      <c r="D263">
        <v>6</v>
      </c>
    </row>
    <row r="264" spans="1:4" x14ac:dyDescent="0.25">
      <c r="A264">
        <v>263</v>
      </c>
      <c r="B264" t="s">
        <v>10</v>
      </c>
      <c r="C264">
        <v>23</v>
      </c>
      <c r="D264">
        <v>6</v>
      </c>
    </row>
    <row r="265" spans="1:4" x14ac:dyDescent="0.25">
      <c r="A265">
        <v>264</v>
      </c>
      <c r="B265" t="s">
        <v>10</v>
      </c>
      <c r="C265">
        <v>24</v>
      </c>
      <c r="D265">
        <v>6</v>
      </c>
    </row>
    <row r="266" spans="1:4" x14ac:dyDescent="0.25">
      <c r="A266">
        <v>265</v>
      </c>
      <c r="B266" t="s">
        <v>10</v>
      </c>
      <c r="C266">
        <v>25</v>
      </c>
      <c r="D266">
        <v>0</v>
      </c>
    </row>
    <row r="267" spans="1:4" x14ac:dyDescent="0.25">
      <c r="A267">
        <v>266</v>
      </c>
      <c r="B267" t="s">
        <v>10</v>
      </c>
      <c r="C267">
        <v>26</v>
      </c>
      <c r="D267">
        <v>0</v>
      </c>
    </row>
    <row r="268" spans="1:4" x14ac:dyDescent="0.25">
      <c r="A268">
        <v>267</v>
      </c>
      <c r="B268" t="s">
        <v>10</v>
      </c>
      <c r="C268">
        <v>27</v>
      </c>
      <c r="D268">
        <v>0</v>
      </c>
    </row>
    <row r="269" spans="1:4" x14ac:dyDescent="0.25">
      <c r="A269">
        <v>268</v>
      </c>
      <c r="B269" t="s">
        <v>10</v>
      </c>
      <c r="C269">
        <v>28</v>
      </c>
      <c r="D269">
        <v>0</v>
      </c>
    </row>
    <row r="270" spans="1:4" x14ac:dyDescent="0.25">
      <c r="A270">
        <v>269</v>
      </c>
      <c r="B270" t="s">
        <v>10</v>
      </c>
      <c r="C270">
        <v>29</v>
      </c>
      <c r="D270">
        <v>0</v>
      </c>
    </row>
    <row r="271" spans="1:4" x14ac:dyDescent="0.25">
      <c r="A271">
        <v>270</v>
      </c>
      <c r="B271" t="s">
        <v>10</v>
      </c>
      <c r="C271">
        <v>30</v>
      </c>
      <c r="D271">
        <v>0</v>
      </c>
    </row>
    <row r="272" spans="1:4" x14ac:dyDescent="0.25">
      <c r="A272">
        <v>271</v>
      </c>
      <c r="B272" t="s">
        <v>11</v>
      </c>
      <c r="C272">
        <v>1</v>
      </c>
      <c r="D272">
        <v>0</v>
      </c>
    </row>
    <row r="273" spans="1:4" x14ac:dyDescent="0.25">
      <c r="A273">
        <v>272</v>
      </c>
      <c r="B273" t="s">
        <v>11</v>
      </c>
      <c r="C273">
        <v>2</v>
      </c>
      <c r="D273">
        <v>0</v>
      </c>
    </row>
    <row r="274" spans="1:4" x14ac:dyDescent="0.25">
      <c r="A274">
        <v>273</v>
      </c>
      <c r="B274" t="s">
        <v>11</v>
      </c>
      <c r="C274">
        <v>3</v>
      </c>
      <c r="D274">
        <v>0</v>
      </c>
    </row>
    <row r="275" spans="1:4" x14ac:dyDescent="0.25">
      <c r="A275">
        <v>274</v>
      </c>
      <c r="B275" t="s">
        <v>11</v>
      </c>
      <c r="C275">
        <v>4</v>
      </c>
      <c r="D275">
        <v>0</v>
      </c>
    </row>
    <row r="276" spans="1:4" x14ac:dyDescent="0.25">
      <c r="A276">
        <v>275</v>
      </c>
      <c r="B276" t="s">
        <v>11</v>
      </c>
      <c r="C276">
        <v>5</v>
      </c>
      <c r="D276">
        <v>0</v>
      </c>
    </row>
    <row r="277" spans="1:4" x14ac:dyDescent="0.25">
      <c r="A277">
        <v>276</v>
      </c>
      <c r="B277" t="s">
        <v>11</v>
      </c>
      <c r="C277">
        <v>6</v>
      </c>
      <c r="D277">
        <v>0</v>
      </c>
    </row>
    <row r="278" spans="1:4" x14ac:dyDescent="0.25">
      <c r="A278">
        <v>277</v>
      </c>
      <c r="B278" t="s">
        <v>11</v>
      </c>
      <c r="C278">
        <v>7</v>
      </c>
      <c r="D278">
        <v>5</v>
      </c>
    </row>
    <row r="279" spans="1:4" x14ac:dyDescent="0.25">
      <c r="A279">
        <v>278</v>
      </c>
      <c r="B279" t="s">
        <v>11</v>
      </c>
      <c r="C279">
        <v>8</v>
      </c>
      <c r="D279">
        <v>6</v>
      </c>
    </row>
    <row r="280" spans="1:4" x14ac:dyDescent="0.25">
      <c r="A280">
        <v>279</v>
      </c>
      <c r="B280" t="s">
        <v>11</v>
      </c>
      <c r="C280">
        <v>9</v>
      </c>
      <c r="D280">
        <v>6</v>
      </c>
    </row>
    <row r="281" spans="1:4" x14ac:dyDescent="0.25">
      <c r="A281">
        <v>280</v>
      </c>
      <c r="B281" t="s">
        <v>11</v>
      </c>
      <c r="C281">
        <v>10</v>
      </c>
      <c r="D281">
        <v>7</v>
      </c>
    </row>
    <row r="282" spans="1:4" x14ac:dyDescent="0.25">
      <c r="A282">
        <v>281</v>
      </c>
      <c r="B282" t="s">
        <v>11</v>
      </c>
      <c r="C282">
        <v>11</v>
      </c>
      <c r="D282">
        <v>7</v>
      </c>
    </row>
    <row r="283" spans="1:4" x14ac:dyDescent="0.25">
      <c r="A283">
        <v>282</v>
      </c>
      <c r="B283" t="s">
        <v>11</v>
      </c>
      <c r="C283">
        <v>12</v>
      </c>
      <c r="D283">
        <v>8</v>
      </c>
    </row>
    <row r="284" spans="1:4" x14ac:dyDescent="0.25">
      <c r="A284">
        <v>283</v>
      </c>
      <c r="B284" t="s">
        <v>11</v>
      </c>
      <c r="C284">
        <v>13</v>
      </c>
      <c r="D284">
        <v>8</v>
      </c>
    </row>
    <row r="285" spans="1:4" x14ac:dyDescent="0.25">
      <c r="A285">
        <v>284</v>
      </c>
      <c r="B285" t="s">
        <v>11</v>
      </c>
      <c r="C285">
        <v>14</v>
      </c>
      <c r="D285">
        <v>9</v>
      </c>
    </row>
    <row r="286" spans="1:4" x14ac:dyDescent="0.25">
      <c r="A286">
        <v>285</v>
      </c>
      <c r="B286" t="s">
        <v>11</v>
      </c>
      <c r="C286">
        <v>15</v>
      </c>
      <c r="D286">
        <v>9</v>
      </c>
    </row>
    <row r="287" spans="1:4" x14ac:dyDescent="0.25">
      <c r="A287">
        <v>286</v>
      </c>
      <c r="B287" t="s">
        <v>11</v>
      </c>
      <c r="C287">
        <v>16</v>
      </c>
      <c r="D287">
        <v>0</v>
      </c>
    </row>
    <row r="288" spans="1:4" x14ac:dyDescent="0.25">
      <c r="A288">
        <v>287</v>
      </c>
      <c r="B288" t="s">
        <v>11</v>
      </c>
      <c r="C288">
        <v>17</v>
      </c>
      <c r="D288">
        <v>0</v>
      </c>
    </row>
    <row r="289" spans="1:4" x14ac:dyDescent="0.25">
      <c r="A289">
        <v>288</v>
      </c>
      <c r="B289" t="s">
        <v>11</v>
      </c>
      <c r="C289">
        <v>18</v>
      </c>
      <c r="D289">
        <v>0</v>
      </c>
    </row>
    <row r="290" spans="1:4" x14ac:dyDescent="0.25">
      <c r="A290">
        <v>289</v>
      </c>
      <c r="B290" t="s">
        <v>11</v>
      </c>
      <c r="C290">
        <v>19</v>
      </c>
      <c r="D290">
        <v>0</v>
      </c>
    </row>
    <row r="291" spans="1:4" x14ac:dyDescent="0.25">
      <c r="A291">
        <v>290</v>
      </c>
      <c r="B291" t="s">
        <v>11</v>
      </c>
      <c r="C291">
        <v>20</v>
      </c>
      <c r="D291">
        <v>0</v>
      </c>
    </row>
    <row r="292" spans="1:4" x14ac:dyDescent="0.25">
      <c r="A292">
        <v>291</v>
      </c>
      <c r="B292" t="s">
        <v>11</v>
      </c>
      <c r="C292">
        <v>21</v>
      </c>
      <c r="D292">
        <v>0</v>
      </c>
    </row>
    <row r="293" spans="1:4" x14ac:dyDescent="0.25">
      <c r="A293">
        <v>292</v>
      </c>
      <c r="B293" t="s">
        <v>11</v>
      </c>
      <c r="C293">
        <v>22</v>
      </c>
      <c r="D293">
        <v>0</v>
      </c>
    </row>
    <row r="294" spans="1:4" x14ac:dyDescent="0.25">
      <c r="A294">
        <v>293</v>
      </c>
      <c r="B294" t="s">
        <v>11</v>
      </c>
      <c r="C294">
        <v>23</v>
      </c>
      <c r="D294">
        <v>0</v>
      </c>
    </row>
    <row r="295" spans="1:4" x14ac:dyDescent="0.25">
      <c r="A295">
        <v>294</v>
      </c>
      <c r="B295" t="s">
        <v>11</v>
      </c>
      <c r="C295">
        <v>24</v>
      </c>
      <c r="D295">
        <v>0</v>
      </c>
    </row>
    <row r="296" spans="1:4" x14ac:dyDescent="0.25">
      <c r="A296">
        <v>295</v>
      </c>
      <c r="B296" t="s">
        <v>11</v>
      </c>
      <c r="C296">
        <v>25</v>
      </c>
      <c r="D296">
        <v>0</v>
      </c>
    </row>
    <row r="297" spans="1:4" x14ac:dyDescent="0.25">
      <c r="A297">
        <v>296</v>
      </c>
      <c r="B297" t="s">
        <v>11</v>
      </c>
      <c r="C297">
        <v>26</v>
      </c>
      <c r="D297">
        <v>0</v>
      </c>
    </row>
    <row r="298" spans="1:4" x14ac:dyDescent="0.25">
      <c r="A298">
        <v>297</v>
      </c>
      <c r="B298" t="s">
        <v>11</v>
      </c>
      <c r="C298">
        <v>27</v>
      </c>
      <c r="D298">
        <v>0</v>
      </c>
    </row>
    <row r="299" spans="1:4" x14ac:dyDescent="0.25">
      <c r="A299">
        <v>298</v>
      </c>
      <c r="B299" t="s">
        <v>11</v>
      </c>
      <c r="C299">
        <v>28</v>
      </c>
      <c r="D299">
        <v>0</v>
      </c>
    </row>
    <row r="300" spans="1:4" x14ac:dyDescent="0.25">
      <c r="A300">
        <v>299</v>
      </c>
      <c r="B300" t="s">
        <v>11</v>
      </c>
      <c r="C300">
        <v>29</v>
      </c>
      <c r="D300">
        <v>0</v>
      </c>
    </row>
    <row r="301" spans="1:4" x14ac:dyDescent="0.25">
      <c r="A301">
        <v>300</v>
      </c>
      <c r="B301" t="s">
        <v>11</v>
      </c>
      <c r="C301">
        <v>30</v>
      </c>
      <c r="D301">
        <v>0</v>
      </c>
    </row>
    <row r="302" spans="1:4" x14ac:dyDescent="0.25">
      <c r="A302">
        <v>301</v>
      </c>
      <c r="B302" t="s">
        <v>12</v>
      </c>
      <c r="C302">
        <v>1</v>
      </c>
      <c r="D302">
        <v>0</v>
      </c>
    </row>
    <row r="303" spans="1:4" x14ac:dyDescent="0.25">
      <c r="A303">
        <v>302</v>
      </c>
      <c r="B303" t="s">
        <v>12</v>
      </c>
      <c r="C303">
        <v>2</v>
      </c>
      <c r="D303">
        <v>0</v>
      </c>
    </row>
    <row r="304" spans="1:4" x14ac:dyDescent="0.25">
      <c r="A304">
        <v>303</v>
      </c>
      <c r="B304" t="s">
        <v>12</v>
      </c>
      <c r="C304">
        <v>3</v>
      </c>
      <c r="D304">
        <v>0</v>
      </c>
    </row>
    <row r="305" spans="1:4" x14ac:dyDescent="0.25">
      <c r="A305">
        <v>304</v>
      </c>
      <c r="B305" t="s">
        <v>12</v>
      </c>
      <c r="C305">
        <v>4</v>
      </c>
      <c r="D305">
        <v>0</v>
      </c>
    </row>
    <row r="306" spans="1:4" x14ac:dyDescent="0.25">
      <c r="A306">
        <v>305</v>
      </c>
      <c r="B306" t="s">
        <v>12</v>
      </c>
      <c r="C306">
        <v>5</v>
      </c>
      <c r="D306">
        <v>0</v>
      </c>
    </row>
    <row r="307" spans="1:4" x14ac:dyDescent="0.25">
      <c r="A307">
        <v>306</v>
      </c>
      <c r="B307" t="s">
        <v>12</v>
      </c>
      <c r="C307">
        <v>6</v>
      </c>
      <c r="D307">
        <v>0</v>
      </c>
    </row>
    <row r="308" spans="1:4" x14ac:dyDescent="0.25">
      <c r="A308">
        <v>307</v>
      </c>
      <c r="B308" t="s">
        <v>12</v>
      </c>
      <c r="C308">
        <v>7</v>
      </c>
      <c r="D308">
        <v>5</v>
      </c>
    </row>
    <row r="309" spans="1:4" x14ac:dyDescent="0.25">
      <c r="A309">
        <v>308</v>
      </c>
      <c r="B309" t="s">
        <v>12</v>
      </c>
      <c r="C309">
        <v>8</v>
      </c>
      <c r="D309">
        <v>6</v>
      </c>
    </row>
    <row r="310" spans="1:4" x14ac:dyDescent="0.25">
      <c r="A310">
        <v>309</v>
      </c>
      <c r="B310" t="s">
        <v>12</v>
      </c>
      <c r="C310">
        <v>9</v>
      </c>
      <c r="D310">
        <v>6</v>
      </c>
    </row>
    <row r="311" spans="1:4" x14ac:dyDescent="0.25">
      <c r="A311">
        <v>310</v>
      </c>
      <c r="B311" t="s">
        <v>12</v>
      </c>
      <c r="C311">
        <v>10</v>
      </c>
      <c r="D311">
        <v>5</v>
      </c>
    </row>
    <row r="312" spans="1:4" x14ac:dyDescent="0.25">
      <c r="A312">
        <v>311</v>
      </c>
      <c r="B312" t="s">
        <v>12</v>
      </c>
      <c r="C312">
        <v>11</v>
      </c>
      <c r="D312">
        <v>4</v>
      </c>
    </row>
    <row r="313" spans="1:4" x14ac:dyDescent="0.25">
      <c r="A313">
        <v>312</v>
      </c>
      <c r="B313" t="s">
        <v>12</v>
      </c>
      <c r="C313">
        <v>12</v>
      </c>
      <c r="D313">
        <v>3</v>
      </c>
    </row>
    <row r="314" spans="1:4" x14ac:dyDescent="0.25">
      <c r="A314">
        <v>313</v>
      </c>
      <c r="B314" t="s">
        <v>12</v>
      </c>
      <c r="C314">
        <v>13</v>
      </c>
      <c r="D314">
        <v>0</v>
      </c>
    </row>
    <row r="315" spans="1:4" x14ac:dyDescent="0.25">
      <c r="A315">
        <v>314</v>
      </c>
      <c r="B315" t="s">
        <v>12</v>
      </c>
      <c r="C315">
        <v>14</v>
      </c>
      <c r="D315">
        <v>0</v>
      </c>
    </row>
    <row r="316" spans="1:4" x14ac:dyDescent="0.25">
      <c r="A316">
        <v>315</v>
      </c>
      <c r="B316" t="s">
        <v>12</v>
      </c>
      <c r="C316">
        <v>15</v>
      </c>
      <c r="D316">
        <v>0</v>
      </c>
    </row>
    <row r="317" spans="1:4" x14ac:dyDescent="0.25">
      <c r="A317">
        <v>316</v>
      </c>
      <c r="B317" t="s">
        <v>12</v>
      </c>
      <c r="C317">
        <v>16</v>
      </c>
      <c r="D317">
        <v>0</v>
      </c>
    </row>
    <row r="318" spans="1:4" x14ac:dyDescent="0.25">
      <c r="A318">
        <v>317</v>
      </c>
      <c r="B318" t="s">
        <v>12</v>
      </c>
      <c r="C318">
        <v>17</v>
      </c>
      <c r="D318">
        <v>0</v>
      </c>
    </row>
    <row r="319" spans="1:4" x14ac:dyDescent="0.25">
      <c r="A319">
        <v>318</v>
      </c>
      <c r="B319" t="s">
        <v>12</v>
      </c>
      <c r="C319">
        <v>18</v>
      </c>
      <c r="D319">
        <v>0</v>
      </c>
    </row>
    <row r="320" spans="1:4" x14ac:dyDescent="0.25">
      <c r="A320">
        <v>319</v>
      </c>
      <c r="B320" t="s">
        <v>12</v>
      </c>
      <c r="C320">
        <v>19</v>
      </c>
      <c r="D320">
        <v>0</v>
      </c>
    </row>
    <row r="321" spans="1:4" x14ac:dyDescent="0.25">
      <c r="A321">
        <v>320</v>
      </c>
      <c r="B321" t="s">
        <v>12</v>
      </c>
      <c r="C321">
        <v>20</v>
      </c>
      <c r="D321">
        <v>0</v>
      </c>
    </row>
    <row r="322" spans="1:4" x14ac:dyDescent="0.25">
      <c r="A322">
        <v>321</v>
      </c>
      <c r="B322" t="s">
        <v>12</v>
      </c>
      <c r="C322">
        <v>21</v>
      </c>
      <c r="D322">
        <v>0</v>
      </c>
    </row>
    <row r="323" spans="1:4" x14ac:dyDescent="0.25">
      <c r="A323">
        <v>322</v>
      </c>
      <c r="B323" t="s">
        <v>12</v>
      </c>
      <c r="C323">
        <v>22</v>
      </c>
      <c r="D323">
        <v>0</v>
      </c>
    </row>
    <row r="324" spans="1:4" x14ac:dyDescent="0.25">
      <c r="A324">
        <v>323</v>
      </c>
      <c r="B324" t="s">
        <v>12</v>
      </c>
      <c r="C324">
        <v>23</v>
      </c>
      <c r="D324">
        <v>0</v>
      </c>
    </row>
    <row r="325" spans="1:4" x14ac:dyDescent="0.25">
      <c r="A325">
        <v>324</v>
      </c>
      <c r="B325" t="s">
        <v>12</v>
      </c>
      <c r="C325">
        <v>24</v>
      </c>
      <c r="D325">
        <v>0</v>
      </c>
    </row>
    <row r="326" spans="1:4" x14ac:dyDescent="0.25">
      <c r="A326">
        <v>325</v>
      </c>
      <c r="B326" t="s">
        <v>12</v>
      </c>
      <c r="C326">
        <v>25</v>
      </c>
      <c r="D326">
        <v>0</v>
      </c>
    </row>
    <row r="327" spans="1:4" x14ac:dyDescent="0.25">
      <c r="A327">
        <v>326</v>
      </c>
      <c r="B327" t="s">
        <v>12</v>
      </c>
      <c r="C327">
        <v>26</v>
      </c>
      <c r="D327">
        <v>0</v>
      </c>
    </row>
    <row r="328" spans="1:4" x14ac:dyDescent="0.25">
      <c r="A328">
        <v>327</v>
      </c>
      <c r="B328" t="s">
        <v>12</v>
      </c>
      <c r="C328">
        <v>27</v>
      </c>
      <c r="D328">
        <v>0</v>
      </c>
    </row>
    <row r="329" spans="1:4" x14ac:dyDescent="0.25">
      <c r="A329">
        <v>328</v>
      </c>
      <c r="B329" t="s">
        <v>12</v>
      </c>
      <c r="C329">
        <v>28</v>
      </c>
      <c r="D329">
        <v>0</v>
      </c>
    </row>
    <row r="330" spans="1:4" x14ac:dyDescent="0.25">
      <c r="A330">
        <v>329</v>
      </c>
      <c r="B330" t="s">
        <v>12</v>
      </c>
      <c r="C330">
        <v>29</v>
      </c>
      <c r="D330">
        <v>0</v>
      </c>
    </row>
    <row r="331" spans="1:4" x14ac:dyDescent="0.25">
      <c r="A331">
        <v>330</v>
      </c>
      <c r="B331" t="s">
        <v>12</v>
      </c>
      <c r="C331">
        <v>30</v>
      </c>
      <c r="D331">
        <v>0</v>
      </c>
    </row>
    <row r="332" spans="1:4" x14ac:dyDescent="0.25">
      <c r="A332">
        <v>331</v>
      </c>
      <c r="B332" t="s">
        <v>13</v>
      </c>
      <c r="C332">
        <v>1</v>
      </c>
      <c r="D332">
        <v>0</v>
      </c>
    </row>
    <row r="333" spans="1:4" x14ac:dyDescent="0.25">
      <c r="A333">
        <v>332</v>
      </c>
      <c r="B333" t="s">
        <v>13</v>
      </c>
      <c r="C333">
        <v>2</v>
      </c>
      <c r="D333">
        <v>0</v>
      </c>
    </row>
    <row r="334" spans="1:4" x14ac:dyDescent="0.25">
      <c r="A334">
        <v>333</v>
      </c>
      <c r="B334" t="s">
        <v>13</v>
      </c>
      <c r="C334">
        <v>3</v>
      </c>
      <c r="D334">
        <v>0</v>
      </c>
    </row>
    <row r="335" spans="1:4" x14ac:dyDescent="0.25">
      <c r="A335">
        <v>334</v>
      </c>
      <c r="B335" t="s">
        <v>13</v>
      </c>
      <c r="C335">
        <v>4</v>
      </c>
      <c r="D335">
        <v>0</v>
      </c>
    </row>
    <row r="336" spans="1:4" x14ac:dyDescent="0.25">
      <c r="A336">
        <v>335</v>
      </c>
      <c r="B336" t="s">
        <v>13</v>
      </c>
      <c r="C336">
        <v>5</v>
      </c>
      <c r="D336">
        <v>0</v>
      </c>
    </row>
    <row r="337" spans="1:4" x14ac:dyDescent="0.25">
      <c r="A337">
        <v>336</v>
      </c>
      <c r="B337" t="s">
        <v>13</v>
      </c>
      <c r="C337">
        <v>6</v>
      </c>
      <c r="D337">
        <v>0</v>
      </c>
    </row>
    <row r="338" spans="1:4" x14ac:dyDescent="0.25">
      <c r="A338">
        <v>337</v>
      </c>
      <c r="B338" t="s">
        <v>13</v>
      </c>
      <c r="C338">
        <v>7</v>
      </c>
      <c r="D338">
        <v>0</v>
      </c>
    </row>
    <row r="339" spans="1:4" x14ac:dyDescent="0.25">
      <c r="A339">
        <v>338</v>
      </c>
      <c r="B339" t="s">
        <v>13</v>
      </c>
      <c r="C339">
        <v>8</v>
      </c>
      <c r="D339">
        <v>7</v>
      </c>
    </row>
    <row r="340" spans="1:4" x14ac:dyDescent="0.25">
      <c r="A340">
        <v>339</v>
      </c>
      <c r="B340" t="s">
        <v>13</v>
      </c>
      <c r="C340">
        <v>9</v>
      </c>
      <c r="D340">
        <v>7</v>
      </c>
    </row>
    <row r="341" spans="1:4" x14ac:dyDescent="0.25">
      <c r="A341">
        <v>340</v>
      </c>
      <c r="B341" t="s">
        <v>13</v>
      </c>
      <c r="C341">
        <v>10</v>
      </c>
      <c r="D341">
        <v>6</v>
      </c>
    </row>
    <row r="342" spans="1:4" x14ac:dyDescent="0.25">
      <c r="A342">
        <v>341</v>
      </c>
      <c r="B342" t="s">
        <v>13</v>
      </c>
      <c r="C342">
        <v>11</v>
      </c>
      <c r="D342">
        <v>6</v>
      </c>
    </row>
    <row r="343" spans="1:4" x14ac:dyDescent="0.25">
      <c r="A343">
        <v>342</v>
      </c>
      <c r="B343" t="s">
        <v>13</v>
      </c>
      <c r="C343">
        <v>12</v>
      </c>
      <c r="D343">
        <v>5</v>
      </c>
    </row>
    <row r="344" spans="1:4" x14ac:dyDescent="0.25">
      <c r="A344">
        <v>343</v>
      </c>
      <c r="B344" t="s">
        <v>13</v>
      </c>
      <c r="C344">
        <v>13</v>
      </c>
      <c r="D344">
        <v>4</v>
      </c>
    </row>
    <row r="345" spans="1:4" x14ac:dyDescent="0.25">
      <c r="A345">
        <v>344</v>
      </c>
      <c r="B345" t="s">
        <v>13</v>
      </c>
      <c r="C345">
        <v>14</v>
      </c>
      <c r="D345">
        <v>3</v>
      </c>
    </row>
    <row r="346" spans="1:4" x14ac:dyDescent="0.25">
      <c r="A346">
        <v>345</v>
      </c>
      <c r="B346" t="s">
        <v>13</v>
      </c>
      <c r="C346">
        <v>15</v>
      </c>
      <c r="D346">
        <v>2</v>
      </c>
    </row>
    <row r="347" spans="1:4" x14ac:dyDescent="0.25">
      <c r="A347">
        <v>346</v>
      </c>
      <c r="B347" t="s">
        <v>13</v>
      </c>
      <c r="C347">
        <v>16</v>
      </c>
      <c r="D347">
        <v>0</v>
      </c>
    </row>
    <row r="348" spans="1:4" x14ac:dyDescent="0.25">
      <c r="A348">
        <v>347</v>
      </c>
      <c r="B348" t="s">
        <v>13</v>
      </c>
      <c r="C348">
        <v>17</v>
      </c>
      <c r="D348">
        <v>0</v>
      </c>
    </row>
    <row r="349" spans="1:4" x14ac:dyDescent="0.25">
      <c r="A349">
        <v>348</v>
      </c>
      <c r="B349" t="s">
        <v>13</v>
      </c>
      <c r="C349">
        <v>18</v>
      </c>
      <c r="D349">
        <v>0</v>
      </c>
    </row>
    <row r="350" spans="1:4" x14ac:dyDescent="0.25">
      <c r="A350">
        <v>349</v>
      </c>
      <c r="B350" t="s">
        <v>13</v>
      </c>
      <c r="C350">
        <v>19</v>
      </c>
      <c r="D350">
        <v>0</v>
      </c>
    </row>
    <row r="351" spans="1:4" x14ac:dyDescent="0.25">
      <c r="A351">
        <v>350</v>
      </c>
      <c r="B351" t="s">
        <v>13</v>
      </c>
      <c r="C351">
        <v>20</v>
      </c>
      <c r="D351">
        <v>0</v>
      </c>
    </row>
    <row r="352" spans="1:4" x14ac:dyDescent="0.25">
      <c r="A352">
        <v>351</v>
      </c>
      <c r="B352" t="s">
        <v>13</v>
      </c>
      <c r="C352">
        <v>21</v>
      </c>
      <c r="D352">
        <v>0</v>
      </c>
    </row>
    <row r="353" spans="1:4" x14ac:dyDescent="0.25">
      <c r="A353">
        <v>352</v>
      </c>
      <c r="B353" t="s">
        <v>13</v>
      </c>
      <c r="C353">
        <v>22</v>
      </c>
      <c r="D353">
        <v>0</v>
      </c>
    </row>
    <row r="354" spans="1:4" x14ac:dyDescent="0.25">
      <c r="A354">
        <v>353</v>
      </c>
      <c r="B354" t="s">
        <v>13</v>
      </c>
      <c r="C354">
        <v>23</v>
      </c>
      <c r="D354">
        <v>0</v>
      </c>
    </row>
    <row r="355" spans="1:4" x14ac:dyDescent="0.25">
      <c r="A355">
        <v>354</v>
      </c>
      <c r="B355" t="s">
        <v>13</v>
      </c>
      <c r="C355">
        <v>24</v>
      </c>
      <c r="D355">
        <v>0</v>
      </c>
    </row>
    <row r="356" spans="1:4" x14ac:dyDescent="0.25">
      <c r="A356">
        <v>355</v>
      </c>
      <c r="B356" t="s">
        <v>13</v>
      </c>
      <c r="C356">
        <v>25</v>
      </c>
      <c r="D356">
        <v>0</v>
      </c>
    </row>
    <row r="357" spans="1:4" x14ac:dyDescent="0.25">
      <c r="A357">
        <v>356</v>
      </c>
      <c r="B357" t="s">
        <v>13</v>
      </c>
      <c r="C357">
        <v>26</v>
      </c>
      <c r="D357">
        <v>0</v>
      </c>
    </row>
    <row r="358" spans="1:4" x14ac:dyDescent="0.25">
      <c r="A358">
        <v>357</v>
      </c>
      <c r="B358" t="s">
        <v>13</v>
      </c>
      <c r="C358">
        <v>27</v>
      </c>
      <c r="D358">
        <v>0</v>
      </c>
    </row>
    <row r="359" spans="1:4" x14ac:dyDescent="0.25">
      <c r="A359">
        <v>358</v>
      </c>
      <c r="B359" t="s">
        <v>13</v>
      </c>
      <c r="C359">
        <v>28</v>
      </c>
      <c r="D359">
        <v>0</v>
      </c>
    </row>
    <row r="360" spans="1:4" x14ac:dyDescent="0.25">
      <c r="A360">
        <v>359</v>
      </c>
      <c r="B360" t="s">
        <v>13</v>
      </c>
      <c r="C360">
        <v>29</v>
      </c>
      <c r="D360">
        <v>0</v>
      </c>
    </row>
    <row r="361" spans="1:4" x14ac:dyDescent="0.25">
      <c r="A361">
        <v>360</v>
      </c>
      <c r="B361" t="s">
        <v>13</v>
      </c>
      <c r="C361">
        <v>30</v>
      </c>
      <c r="D361">
        <v>0</v>
      </c>
    </row>
    <row r="362" spans="1:4" x14ac:dyDescent="0.25">
      <c r="A362">
        <v>361</v>
      </c>
      <c r="B362" t="s">
        <v>14</v>
      </c>
      <c r="C362">
        <v>1</v>
      </c>
      <c r="D362">
        <v>0</v>
      </c>
    </row>
    <row r="363" spans="1:4" x14ac:dyDescent="0.25">
      <c r="A363">
        <v>362</v>
      </c>
      <c r="B363" t="s">
        <v>14</v>
      </c>
      <c r="C363">
        <v>2</v>
      </c>
      <c r="D363">
        <v>0</v>
      </c>
    </row>
    <row r="364" spans="1:4" x14ac:dyDescent="0.25">
      <c r="A364">
        <v>363</v>
      </c>
      <c r="B364" t="s">
        <v>14</v>
      </c>
      <c r="C364">
        <v>3</v>
      </c>
      <c r="D364">
        <v>0</v>
      </c>
    </row>
    <row r="365" spans="1:4" x14ac:dyDescent="0.25">
      <c r="A365">
        <v>364</v>
      </c>
      <c r="B365" t="s">
        <v>14</v>
      </c>
      <c r="C365">
        <v>4</v>
      </c>
      <c r="D365">
        <v>0</v>
      </c>
    </row>
    <row r="366" spans="1:4" x14ac:dyDescent="0.25">
      <c r="A366">
        <v>365</v>
      </c>
      <c r="B366" t="s">
        <v>14</v>
      </c>
      <c r="C366">
        <v>5</v>
      </c>
      <c r="D366">
        <v>0</v>
      </c>
    </row>
    <row r="367" spans="1:4" x14ac:dyDescent="0.25">
      <c r="A367">
        <v>366</v>
      </c>
      <c r="B367" t="s">
        <v>14</v>
      </c>
      <c r="C367">
        <v>6</v>
      </c>
      <c r="D367">
        <v>0</v>
      </c>
    </row>
    <row r="368" spans="1:4" x14ac:dyDescent="0.25">
      <c r="A368">
        <v>367</v>
      </c>
      <c r="B368" t="s">
        <v>14</v>
      </c>
      <c r="C368">
        <v>7</v>
      </c>
      <c r="D368">
        <v>0</v>
      </c>
    </row>
    <row r="369" spans="1:4" x14ac:dyDescent="0.25">
      <c r="A369">
        <v>368</v>
      </c>
      <c r="B369" t="s">
        <v>14</v>
      </c>
      <c r="C369">
        <v>8</v>
      </c>
      <c r="D369">
        <v>0</v>
      </c>
    </row>
    <row r="370" spans="1:4" x14ac:dyDescent="0.25">
      <c r="A370">
        <v>369</v>
      </c>
      <c r="B370" t="s">
        <v>14</v>
      </c>
      <c r="C370">
        <v>9</v>
      </c>
      <c r="D370">
        <v>6</v>
      </c>
    </row>
    <row r="371" spans="1:4" x14ac:dyDescent="0.25">
      <c r="A371">
        <v>370</v>
      </c>
      <c r="B371" t="s">
        <v>14</v>
      </c>
      <c r="C371">
        <v>10</v>
      </c>
      <c r="D371">
        <v>6</v>
      </c>
    </row>
    <row r="372" spans="1:4" x14ac:dyDescent="0.25">
      <c r="A372">
        <v>371</v>
      </c>
      <c r="B372" t="s">
        <v>14</v>
      </c>
      <c r="C372">
        <v>11</v>
      </c>
      <c r="D372">
        <v>7</v>
      </c>
    </row>
    <row r="373" spans="1:4" x14ac:dyDescent="0.25">
      <c r="A373">
        <v>372</v>
      </c>
      <c r="B373" t="s">
        <v>14</v>
      </c>
      <c r="C373">
        <v>12</v>
      </c>
      <c r="D373">
        <v>7</v>
      </c>
    </row>
    <row r="374" spans="1:4" x14ac:dyDescent="0.25">
      <c r="A374">
        <v>373</v>
      </c>
      <c r="B374" t="s">
        <v>14</v>
      </c>
      <c r="C374">
        <v>13</v>
      </c>
      <c r="D374">
        <v>8</v>
      </c>
    </row>
    <row r="375" spans="1:4" x14ac:dyDescent="0.25">
      <c r="A375">
        <v>374</v>
      </c>
      <c r="B375" t="s">
        <v>14</v>
      </c>
      <c r="C375">
        <v>14</v>
      </c>
      <c r="D375">
        <v>8</v>
      </c>
    </row>
    <row r="376" spans="1:4" x14ac:dyDescent="0.25">
      <c r="A376">
        <v>375</v>
      </c>
      <c r="B376" t="s">
        <v>14</v>
      </c>
      <c r="C376">
        <v>15</v>
      </c>
      <c r="D376">
        <v>9</v>
      </c>
    </row>
    <row r="377" spans="1:4" x14ac:dyDescent="0.25">
      <c r="A377">
        <v>376</v>
      </c>
      <c r="B377" t="s">
        <v>14</v>
      </c>
      <c r="C377">
        <v>16</v>
      </c>
      <c r="D377">
        <v>9</v>
      </c>
    </row>
    <row r="378" spans="1:4" x14ac:dyDescent="0.25">
      <c r="A378">
        <v>377</v>
      </c>
      <c r="B378" t="s">
        <v>14</v>
      </c>
      <c r="C378">
        <v>17</v>
      </c>
      <c r="D378">
        <v>9</v>
      </c>
    </row>
    <row r="379" spans="1:4" x14ac:dyDescent="0.25">
      <c r="A379">
        <v>378</v>
      </c>
      <c r="B379" t="s">
        <v>14</v>
      </c>
      <c r="C379">
        <v>18</v>
      </c>
      <c r="D379">
        <v>9</v>
      </c>
    </row>
    <row r="380" spans="1:4" x14ac:dyDescent="0.25">
      <c r="A380">
        <v>379</v>
      </c>
      <c r="B380" t="s">
        <v>14</v>
      </c>
      <c r="C380">
        <v>19</v>
      </c>
      <c r="D380">
        <v>9</v>
      </c>
    </row>
    <row r="381" spans="1:4" x14ac:dyDescent="0.25">
      <c r="A381">
        <v>380</v>
      </c>
      <c r="B381" t="s">
        <v>14</v>
      </c>
      <c r="C381">
        <v>20</v>
      </c>
      <c r="D381">
        <v>9</v>
      </c>
    </row>
    <row r="382" spans="1:4" x14ac:dyDescent="0.25">
      <c r="A382">
        <v>381</v>
      </c>
      <c r="B382" t="s">
        <v>14</v>
      </c>
      <c r="C382">
        <v>21</v>
      </c>
      <c r="D382">
        <v>6</v>
      </c>
    </row>
    <row r="383" spans="1:4" x14ac:dyDescent="0.25">
      <c r="A383">
        <v>382</v>
      </c>
      <c r="B383" t="s">
        <v>14</v>
      </c>
      <c r="C383">
        <v>22</v>
      </c>
      <c r="D383">
        <v>6</v>
      </c>
    </row>
    <row r="384" spans="1:4" x14ac:dyDescent="0.25">
      <c r="A384">
        <v>383</v>
      </c>
      <c r="B384" t="s">
        <v>14</v>
      </c>
      <c r="C384">
        <v>23</v>
      </c>
      <c r="D384">
        <v>6</v>
      </c>
    </row>
    <row r="385" spans="1:4" x14ac:dyDescent="0.25">
      <c r="A385">
        <v>384</v>
      </c>
      <c r="B385" t="s">
        <v>14</v>
      </c>
      <c r="C385">
        <v>24</v>
      </c>
      <c r="D385">
        <v>6</v>
      </c>
    </row>
    <row r="386" spans="1:4" x14ac:dyDescent="0.25">
      <c r="A386">
        <v>385</v>
      </c>
      <c r="B386" t="s">
        <v>14</v>
      </c>
      <c r="C386">
        <v>25</v>
      </c>
      <c r="D386">
        <v>6</v>
      </c>
    </row>
    <row r="387" spans="1:4" x14ac:dyDescent="0.25">
      <c r="A387">
        <v>386</v>
      </c>
      <c r="B387" t="s">
        <v>14</v>
      </c>
      <c r="C387">
        <v>26</v>
      </c>
      <c r="D387">
        <v>0</v>
      </c>
    </row>
    <row r="388" spans="1:4" x14ac:dyDescent="0.25">
      <c r="A388">
        <v>387</v>
      </c>
      <c r="B388" t="s">
        <v>14</v>
      </c>
      <c r="C388">
        <v>27</v>
      </c>
      <c r="D388">
        <v>0</v>
      </c>
    </row>
    <row r="389" spans="1:4" x14ac:dyDescent="0.25">
      <c r="A389">
        <v>388</v>
      </c>
      <c r="B389" t="s">
        <v>14</v>
      </c>
      <c r="C389">
        <v>28</v>
      </c>
      <c r="D389">
        <v>0</v>
      </c>
    </row>
    <row r="390" spans="1:4" x14ac:dyDescent="0.25">
      <c r="A390">
        <v>389</v>
      </c>
      <c r="B390" t="s">
        <v>14</v>
      </c>
      <c r="C390">
        <v>29</v>
      </c>
      <c r="D390">
        <v>0</v>
      </c>
    </row>
    <row r="391" spans="1:4" x14ac:dyDescent="0.25">
      <c r="A391">
        <v>390</v>
      </c>
      <c r="B391" t="s">
        <v>14</v>
      </c>
      <c r="C391">
        <v>30</v>
      </c>
      <c r="D391">
        <v>0</v>
      </c>
    </row>
    <row r="392" spans="1:4" x14ac:dyDescent="0.25">
      <c r="A392">
        <v>391</v>
      </c>
      <c r="B392" t="s">
        <v>15</v>
      </c>
      <c r="C392">
        <v>1</v>
      </c>
      <c r="D392">
        <v>0</v>
      </c>
    </row>
    <row r="393" spans="1:4" x14ac:dyDescent="0.25">
      <c r="A393">
        <v>392</v>
      </c>
      <c r="B393" t="s">
        <v>15</v>
      </c>
      <c r="C393">
        <v>2</v>
      </c>
      <c r="D393">
        <v>0</v>
      </c>
    </row>
    <row r="394" spans="1:4" x14ac:dyDescent="0.25">
      <c r="A394">
        <v>393</v>
      </c>
      <c r="B394" t="s">
        <v>15</v>
      </c>
      <c r="C394">
        <v>3</v>
      </c>
      <c r="D394">
        <v>0</v>
      </c>
    </row>
    <row r="395" spans="1:4" x14ac:dyDescent="0.25">
      <c r="A395">
        <v>394</v>
      </c>
      <c r="B395" t="s">
        <v>15</v>
      </c>
      <c r="C395">
        <v>4</v>
      </c>
      <c r="D395">
        <v>0</v>
      </c>
    </row>
    <row r="396" spans="1:4" x14ac:dyDescent="0.25">
      <c r="A396">
        <v>395</v>
      </c>
      <c r="B396" t="s">
        <v>15</v>
      </c>
      <c r="C396">
        <v>5</v>
      </c>
      <c r="D396">
        <v>0</v>
      </c>
    </row>
    <row r="397" spans="1:4" x14ac:dyDescent="0.25">
      <c r="A397">
        <v>396</v>
      </c>
      <c r="B397" t="s">
        <v>15</v>
      </c>
      <c r="C397">
        <v>6</v>
      </c>
      <c r="D397">
        <v>0</v>
      </c>
    </row>
    <row r="398" spans="1:4" x14ac:dyDescent="0.25">
      <c r="A398">
        <v>397</v>
      </c>
      <c r="B398" t="s">
        <v>15</v>
      </c>
      <c r="C398">
        <v>7</v>
      </c>
      <c r="D398">
        <v>0</v>
      </c>
    </row>
    <row r="399" spans="1:4" x14ac:dyDescent="0.25">
      <c r="A399">
        <v>398</v>
      </c>
      <c r="B399" t="s">
        <v>15</v>
      </c>
      <c r="C399">
        <v>8</v>
      </c>
      <c r="D399">
        <v>0</v>
      </c>
    </row>
    <row r="400" spans="1:4" x14ac:dyDescent="0.25">
      <c r="A400">
        <v>399</v>
      </c>
      <c r="B400" t="s">
        <v>15</v>
      </c>
      <c r="C400">
        <v>9</v>
      </c>
      <c r="D400">
        <v>5</v>
      </c>
    </row>
    <row r="401" spans="1:4" x14ac:dyDescent="0.25">
      <c r="A401">
        <v>400</v>
      </c>
      <c r="B401" t="s">
        <v>15</v>
      </c>
      <c r="C401">
        <v>10</v>
      </c>
      <c r="D401">
        <v>6</v>
      </c>
    </row>
    <row r="402" spans="1:4" x14ac:dyDescent="0.25">
      <c r="A402">
        <v>401</v>
      </c>
      <c r="B402" t="s">
        <v>15</v>
      </c>
      <c r="C402">
        <v>11</v>
      </c>
      <c r="D402">
        <v>6</v>
      </c>
    </row>
    <row r="403" spans="1:4" x14ac:dyDescent="0.25">
      <c r="A403">
        <v>402</v>
      </c>
      <c r="B403" t="s">
        <v>15</v>
      </c>
      <c r="C403">
        <v>12</v>
      </c>
      <c r="D403">
        <v>6</v>
      </c>
    </row>
    <row r="404" spans="1:4" x14ac:dyDescent="0.25">
      <c r="A404">
        <v>403</v>
      </c>
      <c r="B404" t="s">
        <v>15</v>
      </c>
      <c r="C404">
        <v>13</v>
      </c>
      <c r="D404">
        <v>7</v>
      </c>
    </row>
    <row r="405" spans="1:4" x14ac:dyDescent="0.25">
      <c r="A405">
        <v>404</v>
      </c>
      <c r="B405" t="s">
        <v>15</v>
      </c>
      <c r="C405">
        <v>14</v>
      </c>
      <c r="D405">
        <v>7</v>
      </c>
    </row>
    <row r="406" spans="1:4" x14ac:dyDescent="0.25">
      <c r="A406">
        <v>405</v>
      </c>
      <c r="B406" t="s">
        <v>15</v>
      </c>
      <c r="C406">
        <v>15</v>
      </c>
      <c r="D406">
        <v>10</v>
      </c>
    </row>
    <row r="407" spans="1:4" x14ac:dyDescent="0.25">
      <c r="A407">
        <v>406</v>
      </c>
      <c r="B407" t="s">
        <v>15</v>
      </c>
      <c r="C407">
        <v>16</v>
      </c>
      <c r="D407">
        <v>10</v>
      </c>
    </row>
    <row r="408" spans="1:4" x14ac:dyDescent="0.25">
      <c r="A408">
        <v>407</v>
      </c>
      <c r="B408" t="s">
        <v>15</v>
      </c>
      <c r="C408">
        <v>17</v>
      </c>
      <c r="D408">
        <v>10</v>
      </c>
    </row>
    <row r="409" spans="1:4" x14ac:dyDescent="0.25">
      <c r="A409">
        <v>408</v>
      </c>
      <c r="B409" t="s">
        <v>15</v>
      </c>
      <c r="C409">
        <v>18</v>
      </c>
      <c r="D409">
        <v>10</v>
      </c>
    </row>
    <row r="410" spans="1:4" x14ac:dyDescent="0.25">
      <c r="A410">
        <v>409</v>
      </c>
      <c r="B410" t="s">
        <v>15</v>
      </c>
      <c r="C410">
        <v>19</v>
      </c>
      <c r="D410">
        <v>0</v>
      </c>
    </row>
    <row r="411" spans="1:4" x14ac:dyDescent="0.25">
      <c r="A411">
        <v>410</v>
      </c>
      <c r="B411" t="s">
        <v>15</v>
      </c>
      <c r="C411">
        <v>20</v>
      </c>
      <c r="D411">
        <v>0</v>
      </c>
    </row>
    <row r="412" spans="1:4" x14ac:dyDescent="0.25">
      <c r="A412">
        <v>411</v>
      </c>
      <c r="B412" t="s">
        <v>15</v>
      </c>
      <c r="C412">
        <v>21</v>
      </c>
      <c r="D412">
        <v>0</v>
      </c>
    </row>
    <row r="413" spans="1:4" x14ac:dyDescent="0.25">
      <c r="A413">
        <v>412</v>
      </c>
      <c r="B413" t="s">
        <v>15</v>
      </c>
      <c r="C413">
        <v>22</v>
      </c>
      <c r="D413">
        <v>0</v>
      </c>
    </row>
    <row r="414" spans="1:4" x14ac:dyDescent="0.25">
      <c r="A414">
        <v>413</v>
      </c>
      <c r="B414" t="s">
        <v>15</v>
      </c>
      <c r="C414">
        <v>23</v>
      </c>
      <c r="D414">
        <v>0</v>
      </c>
    </row>
    <row r="415" spans="1:4" x14ac:dyDescent="0.25">
      <c r="A415">
        <v>414</v>
      </c>
      <c r="B415" t="s">
        <v>15</v>
      </c>
      <c r="C415">
        <v>24</v>
      </c>
      <c r="D415">
        <v>0</v>
      </c>
    </row>
    <row r="416" spans="1:4" x14ac:dyDescent="0.25">
      <c r="A416">
        <v>415</v>
      </c>
      <c r="B416" t="s">
        <v>15</v>
      </c>
      <c r="C416">
        <v>25</v>
      </c>
      <c r="D416">
        <v>0</v>
      </c>
    </row>
    <row r="417" spans="1:4" x14ac:dyDescent="0.25">
      <c r="A417">
        <v>416</v>
      </c>
      <c r="B417" t="s">
        <v>15</v>
      </c>
      <c r="C417">
        <v>26</v>
      </c>
      <c r="D417">
        <v>0</v>
      </c>
    </row>
    <row r="418" spans="1:4" x14ac:dyDescent="0.25">
      <c r="A418">
        <v>417</v>
      </c>
      <c r="B418" t="s">
        <v>15</v>
      </c>
      <c r="C418">
        <v>27</v>
      </c>
      <c r="D418">
        <v>0</v>
      </c>
    </row>
    <row r="419" spans="1:4" x14ac:dyDescent="0.25">
      <c r="A419">
        <v>418</v>
      </c>
      <c r="B419" t="s">
        <v>15</v>
      </c>
      <c r="C419">
        <v>28</v>
      </c>
      <c r="D419">
        <v>0</v>
      </c>
    </row>
    <row r="420" spans="1:4" x14ac:dyDescent="0.25">
      <c r="A420">
        <v>419</v>
      </c>
      <c r="B420" t="s">
        <v>15</v>
      </c>
      <c r="C420">
        <v>29</v>
      </c>
      <c r="D420">
        <v>0</v>
      </c>
    </row>
    <row r="421" spans="1:4" x14ac:dyDescent="0.25">
      <c r="A421">
        <v>420</v>
      </c>
      <c r="B421" t="s">
        <v>15</v>
      </c>
      <c r="C421">
        <v>30</v>
      </c>
      <c r="D421">
        <v>0</v>
      </c>
    </row>
    <row r="422" spans="1:4" x14ac:dyDescent="0.25">
      <c r="A422">
        <v>421</v>
      </c>
      <c r="B422" t="s">
        <v>16</v>
      </c>
      <c r="C422">
        <v>1</v>
      </c>
      <c r="D422">
        <v>0</v>
      </c>
    </row>
    <row r="423" spans="1:4" x14ac:dyDescent="0.25">
      <c r="A423">
        <v>422</v>
      </c>
      <c r="B423" t="s">
        <v>16</v>
      </c>
      <c r="C423">
        <v>2</v>
      </c>
      <c r="D423">
        <v>0</v>
      </c>
    </row>
    <row r="424" spans="1:4" x14ac:dyDescent="0.25">
      <c r="A424">
        <v>423</v>
      </c>
      <c r="B424" t="s">
        <v>16</v>
      </c>
      <c r="C424">
        <v>3</v>
      </c>
      <c r="D424">
        <v>0</v>
      </c>
    </row>
    <row r="425" spans="1:4" x14ac:dyDescent="0.25">
      <c r="A425">
        <v>424</v>
      </c>
      <c r="B425" t="s">
        <v>16</v>
      </c>
      <c r="C425">
        <v>4</v>
      </c>
      <c r="D425">
        <v>0</v>
      </c>
    </row>
    <row r="426" spans="1:4" x14ac:dyDescent="0.25">
      <c r="A426">
        <v>425</v>
      </c>
      <c r="B426" t="s">
        <v>16</v>
      </c>
      <c r="C426">
        <v>5</v>
      </c>
      <c r="D426">
        <v>0</v>
      </c>
    </row>
    <row r="427" spans="1:4" x14ac:dyDescent="0.25">
      <c r="A427">
        <v>426</v>
      </c>
      <c r="B427" t="s">
        <v>16</v>
      </c>
      <c r="C427">
        <v>6</v>
      </c>
      <c r="D427">
        <v>0</v>
      </c>
    </row>
    <row r="428" spans="1:4" x14ac:dyDescent="0.25">
      <c r="A428">
        <v>427</v>
      </c>
      <c r="B428" t="s">
        <v>16</v>
      </c>
      <c r="C428">
        <v>7</v>
      </c>
      <c r="D428">
        <v>0</v>
      </c>
    </row>
    <row r="429" spans="1:4" x14ac:dyDescent="0.25">
      <c r="A429">
        <v>428</v>
      </c>
      <c r="B429" t="s">
        <v>16</v>
      </c>
      <c r="C429">
        <v>8</v>
      </c>
      <c r="D429">
        <v>0</v>
      </c>
    </row>
    <row r="430" spans="1:4" x14ac:dyDescent="0.25">
      <c r="A430">
        <v>429</v>
      </c>
      <c r="B430" t="s">
        <v>16</v>
      </c>
      <c r="C430">
        <v>9</v>
      </c>
      <c r="D430">
        <v>7</v>
      </c>
    </row>
    <row r="431" spans="1:4" x14ac:dyDescent="0.25">
      <c r="A431">
        <v>430</v>
      </c>
      <c r="B431" t="s">
        <v>16</v>
      </c>
      <c r="C431">
        <v>10</v>
      </c>
      <c r="D431">
        <v>7</v>
      </c>
    </row>
    <row r="432" spans="1:4" x14ac:dyDescent="0.25">
      <c r="A432">
        <v>431</v>
      </c>
      <c r="B432" t="s">
        <v>16</v>
      </c>
      <c r="C432">
        <v>11</v>
      </c>
      <c r="D432">
        <v>6</v>
      </c>
    </row>
    <row r="433" spans="1:4" x14ac:dyDescent="0.25">
      <c r="A433">
        <v>432</v>
      </c>
      <c r="B433" t="s">
        <v>16</v>
      </c>
      <c r="C433">
        <v>12</v>
      </c>
      <c r="D433">
        <v>6</v>
      </c>
    </row>
    <row r="434" spans="1:4" x14ac:dyDescent="0.25">
      <c r="A434">
        <v>433</v>
      </c>
      <c r="B434" t="s">
        <v>16</v>
      </c>
      <c r="C434">
        <v>13</v>
      </c>
      <c r="D434">
        <v>5</v>
      </c>
    </row>
    <row r="435" spans="1:4" x14ac:dyDescent="0.25">
      <c r="A435">
        <v>434</v>
      </c>
      <c r="B435" t="s">
        <v>16</v>
      </c>
      <c r="C435">
        <v>14</v>
      </c>
      <c r="D435">
        <v>4</v>
      </c>
    </row>
    <row r="436" spans="1:4" x14ac:dyDescent="0.25">
      <c r="A436">
        <v>435</v>
      </c>
      <c r="B436" t="s">
        <v>16</v>
      </c>
      <c r="C436">
        <v>15</v>
      </c>
      <c r="D436">
        <v>3</v>
      </c>
    </row>
    <row r="437" spans="1:4" x14ac:dyDescent="0.25">
      <c r="A437">
        <v>436</v>
      </c>
      <c r="B437" t="s">
        <v>16</v>
      </c>
      <c r="C437">
        <v>16</v>
      </c>
      <c r="D437">
        <v>2</v>
      </c>
    </row>
    <row r="438" spans="1:4" x14ac:dyDescent="0.25">
      <c r="A438">
        <v>437</v>
      </c>
      <c r="B438" t="s">
        <v>16</v>
      </c>
      <c r="C438">
        <v>17</v>
      </c>
      <c r="D438">
        <v>1</v>
      </c>
    </row>
    <row r="439" spans="1:4" x14ac:dyDescent="0.25">
      <c r="A439">
        <v>438</v>
      </c>
      <c r="B439" t="s">
        <v>16</v>
      </c>
      <c r="C439">
        <v>18</v>
      </c>
      <c r="D439">
        <v>0</v>
      </c>
    </row>
    <row r="440" spans="1:4" x14ac:dyDescent="0.25">
      <c r="A440">
        <v>439</v>
      </c>
      <c r="B440" t="s">
        <v>16</v>
      </c>
      <c r="C440">
        <v>19</v>
      </c>
      <c r="D440">
        <v>0</v>
      </c>
    </row>
    <row r="441" spans="1:4" x14ac:dyDescent="0.25">
      <c r="A441">
        <v>440</v>
      </c>
      <c r="B441" t="s">
        <v>16</v>
      </c>
      <c r="C441">
        <v>20</v>
      </c>
      <c r="D441">
        <v>0</v>
      </c>
    </row>
    <row r="442" spans="1:4" x14ac:dyDescent="0.25">
      <c r="A442">
        <v>441</v>
      </c>
      <c r="B442" t="s">
        <v>16</v>
      </c>
      <c r="C442">
        <v>21</v>
      </c>
      <c r="D442">
        <v>0</v>
      </c>
    </row>
    <row r="443" spans="1:4" x14ac:dyDescent="0.25">
      <c r="A443">
        <v>442</v>
      </c>
      <c r="B443" t="s">
        <v>16</v>
      </c>
      <c r="C443">
        <v>22</v>
      </c>
      <c r="D443">
        <v>0</v>
      </c>
    </row>
    <row r="444" spans="1:4" x14ac:dyDescent="0.25">
      <c r="A444">
        <v>443</v>
      </c>
      <c r="B444" t="s">
        <v>16</v>
      </c>
      <c r="C444">
        <v>23</v>
      </c>
      <c r="D444">
        <v>0</v>
      </c>
    </row>
    <row r="445" spans="1:4" x14ac:dyDescent="0.25">
      <c r="A445">
        <v>444</v>
      </c>
      <c r="B445" t="s">
        <v>16</v>
      </c>
      <c r="C445">
        <v>24</v>
      </c>
      <c r="D445">
        <v>0</v>
      </c>
    </row>
    <row r="446" spans="1:4" x14ac:dyDescent="0.25">
      <c r="A446">
        <v>445</v>
      </c>
      <c r="B446" t="s">
        <v>16</v>
      </c>
      <c r="C446">
        <v>25</v>
      </c>
      <c r="D446">
        <v>0</v>
      </c>
    </row>
    <row r="447" spans="1:4" x14ac:dyDescent="0.25">
      <c r="A447">
        <v>446</v>
      </c>
      <c r="B447" t="s">
        <v>16</v>
      </c>
      <c r="C447">
        <v>26</v>
      </c>
      <c r="D447">
        <v>0</v>
      </c>
    </row>
    <row r="448" spans="1:4" x14ac:dyDescent="0.25">
      <c r="A448">
        <v>447</v>
      </c>
      <c r="B448" t="s">
        <v>16</v>
      </c>
      <c r="C448">
        <v>27</v>
      </c>
      <c r="D448">
        <v>0</v>
      </c>
    </row>
    <row r="449" spans="1:4" x14ac:dyDescent="0.25">
      <c r="A449">
        <v>448</v>
      </c>
      <c r="B449" t="s">
        <v>16</v>
      </c>
      <c r="C449">
        <v>28</v>
      </c>
      <c r="D449">
        <v>0</v>
      </c>
    </row>
    <row r="450" spans="1:4" x14ac:dyDescent="0.25">
      <c r="A450">
        <v>449</v>
      </c>
      <c r="B450" t="s">
        <v>16</v>
      </c>
      <c r="C450">
        <v>29</v>
      </c>
      <c r="D450">
        <v>0</v>
      </c>
    </row>
    <row r="451" spans="1:4" x14ac:dyDescent="0.25">
      <c r="A451">
        <v>450</v>
      </c>
      <c r="B451" t="s">
        <v>16</v>
      </c>
      <c r="C451">
        <v>30</v>
      </c>
      <c r="D451">
        <v>0</v>
      </c>
    </row>
    <row r="452" spans="1:4" x14ac:dyDescent="0.25">
      <c r="A452">
        <v>451</v>
      </c>
      <c r="B452" t="s">
        <v>17</v>
      </c>
      <c r="C452">
        <v>1</v>
      </c>
      <c r="D452">
        <v>0</v>
      </c>
    </row>
    <row r="453" spans="1:4" x14ac:dyDescent="0.25">
      <c r="A453">
        <v>452</v>
      </c>
      <c r="B453" t="s">
        <v>17</v>
      </c>
      <c r="C453">
        <v>2</v>
      </c>
      <c r="D453">
        <v>0</v>
      </c>
    </row>
    <row r="454" spans="1:4" x14ac:dyDescent="0.25">
      <c r="A454">
        <v>453</v>
      </c>
      <c r="B454" t="s">
        <v>17</v>
      </c>
      <c r="C454">
        <v>3</v>
      </c>
      <c r="D454">
        <v>0</v>
      </c>
    </row>
    <row r="455" spans="1:4" x14ac:dyDescent="0.25">
      <c r="A455">
        <v>454</v>
      </c>
      <c r="B455" t="s">
        <v>17</v>
      </c>
      <c r="C455">
        <v>4</v>
      </c>
      <c r="D455">
        <v>0</v>
      </c>
    </row>
    <row r="456" spans="1:4" x14ac:dyDescent="0.25">
      <c r="A456">
        <v>455</v>
      </c>
      <c r="B456" t="s">
        <v>17</v>
      </c>
      <c r="C456">
        <v>5</v>
      </c>
      <c r="D456">
        <v>0</v>
      </c>
    </row>
    <row r="457" spans="1:4" x14ac:dyDescent="0.25">
      <c r="A457">
        <v>456</v>
      </c>
      <c r="B457" t="s">
        <v>17</v>
      </c>
      <c r="C457">
        <v>6</v>
      </c>
      <c r="D457">
        <v>0</v>
      </c>
    </row>
    <row r="458" spans="1:4" x14ac:dyDescent="0.25">
      <c r="A458">
        <v>457</v>
      </c>
      <c r="B458" t="s">
        <v>17</v>
      </c>
      <c r="C458">
        <v>7</v>
      </c>
      <c r="D458">
        <v>0</v>
      </c>
    </row>
    <row r="459" spans="1:4" x14ac:dyDescent="0.25">
      <c r="A459">
        <v>458</v>
      </c>
      <c r="B459" t="s">
        <v>17</v>
      </c>
      <c r="C459">
        <v>8</v>
      </c>
      <c r="D459">
        <v>0</v>
      </c>
    </row>
    <row r="460" spans="1:4" x14ac:dyDescent="0.25">
      <c r="A460">
        <v>459</v>
      </c>
      <c r="B460" t="s">
        <v>17</v>
      </c>
      <c r="C460">
        <v>9</v>
      </c>
      <c r="D460">
        <v>5</v>
      </c>
    </row>
    <row r="461" spans="1:4" x14ac:dyDescent="0.25">
      <c r="A461">
        <v>460</v>
      </c>
      <c r="B461" t="s">
        <v>17</v>
      </c>
      <c r="C461">
        <v>10</v>
      </c>
      <c r="D461">
        <v>5</v>
      </c>
    </row>
    <row r="462" spans="1:4" x14ac:dyDescent="0.25">
      <c r="A462">
        <v>461</v>
      </c>
      <c r="B462" t="s">
        <v>17</v>
      </c>
      <c r="C462">
        <v>11</v>
      </c>
      <c r="D462">
        <v>4</v>
      </c>
    </row>
    <row r="463" spans="1:4" x14ac:dyDescent="0.25">
      <c r="A463">
        <v>462</v>
      </c>
      <c r="B463" t="s">
        <v>17</v>
      </c>
      <c r="C463">
        <v>12</v>
      </c>
      <c r="D463">
        <v>3</v>
      </c>
    </row>
    <row r="464" spans="1:4" x14ac:dyDescent="0.25">
      <c r="A464">
        <v>463</v>
      </c>
      <c r="B464" t="s">
        <v>17</v>
      </c>
      <c r="C464">
        <v>13</v>
      </c>
      <c r="D464">
        <v>2</v>
      </c>
    </row>
    <row r="465" spans="1:4" x14ac:dyDescent="0.25">
      <c r="A465">
        <v>464</v>
      </c>
      <c r="B465" t="s">
        <v>17</v>
      </c>
      <c r="C465">
        <v>14</v>
      </c>
      <c r="D465">
        <v>0</v>
      </c>
    </row>
    <row r="466" spans="1:4" x14ac:dyDescent="0.25">
      <c r="A466">
        <v>465</v>
      </c>
      <c r="B466" t="s">
        <v>17</v>
      </c>
      <c r="C466">
        <v>15</v>
      </c>
      <c r="D466">
        <v>0</v>
      </c>
    </row>
    <row r="467" spans="1:4" x14ac:dyDescent="0.25">
      <c r="A467">
        <v>466</v>
      </c>
      <c r="B467" t="s">
        <v>17</v>
      </c>
      <c r="C467">
        <v>16</v>
      </c>
      <c r="D467">
        <v>0</v>
      </c>
    </row>
    <row r="468" spans="1:4" x14ac:dyDescent="0.25">
      <c r="A468">
        <v>467</v>
      </c>
      <c r="B468" t="s">
        <v>17</v>
      </c>
      <c r="C468">
        <v>17</v>
      </c>
      <c r="D468">
        <v>0</v>
      </c>
    </row>
    <row r="469" spans="1:4" x14ac:dyDescent="0.25">
      <c r="A469">
        <v>468</v>
      </c>
      <c r="B469" t="s">
        <v>17</v>
      </c>
      <c r="C469">
        <v>18</v>
      </c>
      <c r="D469">
        <v>0</v>
      </c>
    </row>
    <row r="470" spans="1:4" x14ac:dyDescent="0.25">
      <c r="A470">
        <v>469</v>
      </c>
      <c r="B470" t="s">
        <v>17</v>
      </c>
      <c r="C470">
        <v>19</v>
      </c>
      <c r="D470">
        <v>0</v>
      </c>
    </row>
    <row r="471" spans="1:4" x14ac:dyDescent="0.25">
      <c r="A471">
        <v>470</v>
      </c>
      <c r="B471" t="s">
        <v>17</v>
      </c>
      <c r="C471">
        <v>20</v>
      </c>
      <c r="D471">
        <v>0</v>
      </c>
    </row>
    <row r="472" spans="1:4" x14ac:dyDescent="0.25">
      <c r="A472">
        <v>471</v>
      </c>
      <c r="B472" t="s">
        <v>17</v>
      </c>
      <c r="C472">
        <v>21</v>
      </c>
      <c r="D472">
        <v>0</v>
      </c>
    </row>
    <row r="473" spans="1:4" x14ac:dyDescent="0.25">
      <c r="A473">
        <v>472</v>
      </c>
      <c r="B473" t="s">
        <v>17</v>
      </c>
      <c r="C473">
        <v>22</v>
      </c>
      <c r="D473">
        <v>0</v>
      </c>
    </row>
    <row r="474" spans="1:4" x14ac:dyDescent="0.25">
      <c r="A474">
        <v>473</v>
      </c>
      <c r="B474" t="s">
        <v>17</v>
      </c>
      <c r="C474">
        <v>23</v>
      </c>
      <c r="D474">
        <v>0</v>
      </c>
    </row>
    <row r="475" spans="1:4" x14ac:dyDescent="0.25">
      <c r="A475">
        <v>474</v>
      </c>
      <c r="B475" t="s">
        <v>17</v>
      </c>
      <c r="C475">
        <v>24</v>
      </c>
      <c r="D475">
        <v>0</v>
      </c>
    </row>
    <row r="476" spans="1:4" x14ac:dyDescent="0.25">
      <c r="A476">
        <v>475</v>
      </c>
      <c r="B476" t="s">
        <v>17</v>
      </c>
      <c r="C476">
        <v>25</v>
      </c>
      <c r="D476">
        <v>0</v>
      </c>
    </row>
    <row r="477" spans="1:4" x14ac:dyDescent="0.25">
      <c r="A477">
        <v>476</v>
      </c>
      <c r="B477" t="s">
        <v>17</v>
      </c>
      <c r="C477">
        <v>26</v>
      </c>
      <c r="D477">
        <v>0</v>
      </c>
    </row>
    <row r="478" spans="1:4" x14ac:dyDescent="0.25">
      <c r="A478">
        <v>477</v>
      </c>
      <c r="B478" t="s">
        <v>17</v>
      </c>
      <c r="C478">
        <v>27</v>
      </c>
      <c r="D478">
        <v>0</v>
      </c>
    </row>
    <row r="479" spans="1:4" x14ac:dyDescent="0.25">
      <c r="A479">
        <v>478</v>
      </c>
      <c r="B479" t="s">
        <v>17</v>
      </c>
      <c r="C479">
        <v>28</v>
      </c>
      <c r="D479">
        <v>0</v>
      </c>
    </row>
    <row r="480" spans="1:4" x14ac:dyDescent="0.25">
      <c r="A480">
        <v>479</v>
      </c>
      <c r="B480" t="s">
        <v>17</v>
      </c>
      <c r="C480">
        <v>29</v>
      </c>
      <c r="D480">
        <v>0</v>
      </c>
    </row>
    <row r="481" spans="1:4" x14ac:dyDescent="0.25">
      <c r="A481">
        <v>480</v>
      </c>
      <c r="B481" t="s">
        <v>17</v>
      </c>
      <c r="C481">
        <v>30</v>
      </c>
      <c r="D481">
        <v>0</v>
      </c>
    </row>
    <row r="482" spans="1:4" x14ac:dyDescent="0.25">
      <c r="A482">
        <v>481</v>
      </c>
      <c r="B482" t="s">
        <v>18</v>
      </c>
      <c r="C482">
        <v>1</v>
      </c>
      <c r="D482">
        <v>0</v>
      </c>
    </row>
    <row r="483" spans="1:4" x14ac:dyDescent="0.25">
      <c r="A483">
        <v>482</v>
      </c>
      <c r="B483" t="s">
        <v>18</v>
      </c>
      <c r="C483">
        <v>2</v>
      </c>
      <c r="D483">
        <v>0</v>
      </c>
    </row>
    <row r="484" spans="1:4" x14ac:dyDescent="0.25">
      <c r="A484">
        <v>483</v>
      </c>
      <c r="B484" t="s">
        <v>18</v>
      </c>
      <c r="C484">
        <v>3</v>
      </c>
      <c r="D484">
        <v>0</v>
      </c>
    </row>
    <row r="485" spans="1:4" x14ac:dyDescent="0.25">
      <c r="A485">
        <v>484</v>
      </c>
      <c r="B485" t="s">
        <v>18</v>
      </c>
      <c r="C485">
        <v>4</v>
      </c>
      <c r="D485">
        <v>0</v>
      </c>
    </row>
    <row r="486" spans="1:4" x14ac:dyDescent="0.25">
      <c r="A486">
        <v>485</v>
      </c>
      <c r="B486" t="s">
        <v>18</v>
      </c>
      <c r="C486">
        <v>5</v>
      </c>
      <c r="D486">
        <v>0</v>
      </c>
    </row>
    <row r="487" spans="1:4" x14ac:dyDescent="0.25">
      <c r="A487">
        <v>486</v>
      </c>
      <c r="B487" t="s">
        <v>18</v>
      </c>
      <c r="C487">
        <v>6</v>
      </c>
      <c r="D487">
        <v>0</v>
      </c>
    </row>
    <row r="488" spans="1:4" x14ac:dyDescent="0.25">
      <c r="A488">
        <v>487</v>
      </c>
      <c r="B488" t="s">
        <v>18</v>
      </c>
      <c r="C488">
        <v>7</v>
      </c>
      <c r="D488">
        <v>0</v>
      </c>
    </row>
    <row r="489" spans="1:4" x14ac:dyDescent="0.25">
      <c r="A489">
        <v>488</v>
      </c>
      <c r="B489" t="s">
        <v>18</v>
      </c>
      <c r="C489">
        <v>8</v>
      </c>
      <c r="D489">
        <v>0</v>
      </c>
    </row>
    <row r="490" spans="1:4" x14ac:dyDescent="0.25">
      <c r="A490">
        <v>489</v>
      </c>
      <c r="B490" t="s">
        <v>18</v>
      </c>
      <c r="C490">
        <v>9</v>
      </c>
      <c r="D490">
        <v>5</v>
      </c>
    </row>
    <row r="491" spans="1:4" x14ac:dyDescent="0.25">
      <c r="A491">
        <v>490</v>
      </c>
      <c r="B491" t="s">
        <v>18</v>
      </c>
      <c r="C491">
        <v>10</v>
      </c>
      <c r="D491">
        <v>6</v>
      </c>
    </row>
    <row r="492" spans="1:4" x14ac:dyDescent="0.25">
      <c r="A492">
        <v>491</v>
      </c>
      <c r="B492" t="s">
        <v>18</v>
      </c>
      <c r="C492">
        <v>11</v>
      </c>
      <c r="D492">
        <v>6</v>
      </c>
    </row>
    <row r="493" spans="1:4" x14ac:dyDescent="0.25">
      <c r="A493">
        <v>492</v>
      </c>
      <c r="B493" t="s">
        <v>18</v>
      </c>
      <c r="C493">
        <v>12</v>
      </c>
      <c r="D493">
        <v>7</v>
      </c>
    </row>
    <row r="494" spans="1:4" x14ac:dyDescent="0.25">
      <c r="A494">
        <v>493</v>
      </c>
      <c r="B494" t="s">
        <v>18</v>
      </c>
      <c r="C494">
        <v>13</v>
      </c>
      <c r="D494">
        <v>7</v>
      </c>
    </row>
    <row r="495" spans="1:4" x14ac:dyDescent="0.25">
      <c r="A495">
        <v>494</v>
      </c>
      <c r="B495" t="s">
        <v>18</v>
      </c>
      <c r="C495">
        <v>14</v>
      </c>
      <c r="D495">
        <v>8</v>
      </c>
    </row>
    <row r="496" spans="1:4" x14ac:dyDescent="0.25">
      <c r="A496">
        <v>495</v>
      </c>
      <c r="B496" t="s">
        <v>18</v>
      </c>
      <c r="C496">
        <v>15</v>
      </c>
      <c r="D496">
        <v>8</v>
      </c>
    </row>
    <row r="497" spans="1:4" x14ac:dyDescent="0.25">
      <c r="A497">
        <v>496</v>
      </c>
      <c r="B497" t="s">
        <v>18</v>
      </c>
      <c r="C497">
        <v>16</v>
      </c>
      <c r="D497">
        <v>9</v>
      </c>
    </row>
    <row r="498" spans="1:4" x14ac:dyDescent="0.25">
      <c r="A498">
        <v>497</v>
      </c>
      <c r="B498" t="s">
        <v>18</v>
      </c>
      <c r="C498">
        <v>17</v>
      </c>
      <c r="D498">
        <v>9</v>
      </c>
    </row>
    <row r="499" spans="1:4" x14ac:dyDescent="0.25">
      <c r="A499">
        <v>498</v>
      </c>
      <c r="B499" t="s">
        <v>18</v>
      </c>
      <c r="C499">
        <v>18</v>
      </c>
      <c r="D499">
        <v>9</v>
      </c>
    </row>
    <row r="500" spans="1:4" x14ac:dyDescent="0.25">
      <c r="A500">
        <v>499</v>
      </c>
      <c r="B500" t="s">
        <v>18</v>
      </c>
      <c r="C500">
        <v>19</v>
      </c>
      <c r="D500">
        <v>9</v>
      </c>
    </row>
    <row r="501" spans="1:4" x14ac:dyDescent="0.25">
      <c r="A501">
        <v>500</v>
      </c>
      <c r="B501" t="s">
        <v>18</v>
      </c>
      <c r="C501">
        <v>20</v>
      </c>
      <c r="D501">
        <v>9</v>
      </c>
    </row>
    <row r="502" spans="1:4" x14ac:dyDescent="0.25">
      <c r="A502">
        <v>501</v>
      </c>
      <c r="B502" t="s">
        <v>18</v>
      </c>
      <c r="C502">
        <v>21</v>
      </c>
      <c r="D502">
        <v>9</v>
      </c>
    </row>
    <row r="503" spans="1:4" x14ac:dyDescent="0.25">
      <c r="A503">
        <v>502</v>
      </c>
      <c r="B503" t="s">
        <v>18</v>
      </c>
      <c r="C503">
        <v>22</v>
      </c>
      <c r="D503">
        <v>6</v>
      </c>
    </row>
    <row r="504" spans="1:4" x14ac:dyDescent="0.25">
      <c r="A504">
        <v>503</v>
      </c>
      <c r="B504" t="s">
        <v>18</v>
      </c>
      <c r="C504">
        <v>23</v>
      </c>
      <c r="D504">
        <v>6</v>
      </c>
    </row>
    <row r="505" spans="1:4" x14ac:dyDescent="0.25">
      <c r="A505">
        <v>504</v>
      </c>
      <c r="B505" t="s">
        <v>18</v>
      </c>
      <c r="C505">
        <v>24</v>
      </c>
      <c r="D505">
        <v>6</v>
      </c>
    </row>
    <row r="506" spans="1:4" x14ac:dyDescent="0.25">
      <c r="A506">
        <v>505</v>
      </c>
      <c r="B506" t="s">
        <v>18</v>
      </c>
      <c r="C506">
        <v>25</v>
      </c>
      <c r="D506">
        <v>6</v>
      </c>
    </row>
    <row r="507" spans="1:4" x14ac:dyDescent="0.25">
      <c r="A507">
        <v>506</v>
      </c>
      <c r="B507" t="s">
        <v>18</v>
      </c>
      <c r="C507">
        <v>26</v>
      </c>
      <c r="D507">
        <v>6</v>
      </c>
    </row>
    <row r="508" spans="1:4" x14ac:dyDescent="0.25">
      <c r="A508">
        <v>507</v>
      </c>
      <c r="B508" t="s">
        <v>18</v>
      </c>
      <c r="C508">
        <v>27</v>
      </c>
      <c r="D508">
        <v>0</v>
      </c>
    </row>
    <row r="509" spans="1:4" x14ac:dyDescent="0.25">
      <c r="A509">
        <v>508</v>
      </c>
      <c r="B509" t="s">
        <v>18</v>
      </c>
      <c r="C509">
        <v>28</v>
      </c>
      <c r="D509">
        <v>0</v>
      </c>
    </row>
    <row r="510" spans="1:4" x14ac:dyDescent="0.25">
      <c r="A510">
        <v>509</v>
      </c>
      <c r="B510" t="s">
        <v>18</v>
      </c>
      <c r="C510">
        <v>29</v>
      </c>
      <c r="D510">
        <v>0</v>
      </c>
    </row>
    <row r="511" spans="1:4" x14ac:dyDescent="0.25">
      <c r="A511">
        <v>510</v>
      </c>
      <c r="B511" t="s">
        <v>18</v>
      </c>
      <c r="C511">
        <v>30</v>
      </c>
      <c r="D511">
        <v>0</v>
      </c>
    </row>
    <row r="512" spans="1:4" x14ac:dyDescent="0.25">
      <c r="A512">
        <v>511</v>
      </c>
      <c r="B512" t="s">
        <v>19</v>
      </c>
      <c r="C512">
        <v>1</v>
      </c>
      <c r="D512">
        <v>0</v>
      </c>
    </row>
    <row r="513" spans="1:4" x14ac:dyDescent="0.25">
      <c r="A513">
        <v>512</v>
      </c>
      <c r="B513" t="s">
        <v>19</v>
      </c>
      <c r="C513">
        <v>2</v>
      </c>
      <c r="D513">
        <v>0</v>
      </c>
    </row>
    <row r="514" spans="1:4" x14ac:dyDescent="0.25">
      <c r="A514">
        <v>513</v>
      </c>
      <c r="B514" t="s">
        <v>19</v>
      </c>
      <c r="C514">
        <v>3</v>
      </c>
      <c r="D514">
        <v>0</v>
      </c>
    </row>
    <row r="515" spans="1:4" x14ac:dyDescent="0.25">
      <c r="A515">
        <v>514</v>
      </c>
      <c r="B515" t="s">
        <v>19</v>
      </c>
      <c r="C515">
        <v>4</v>
      </c>
      <c r="D515">
        <v>0</v>
      </c>
    </row>
    <row r="516" spans="1:4" x14ac:dyDescent="0.25">
      <c r="A516">
        <v>515</v>
      </c>
      <c r="B516" t="s">
        <v>19</v>
      </c>
      <c r="C516">
        <v>5</v>
      </c>
      <c r="D516">
        <v>0</v>
      </c>
    </row>
    <row r="517" spans="1:4" x14ac:dyDescent="0.25">
      <c r="A517">
        <v>516</v>
      </c>
      <c r="B517" t="s">
        <v>19</v>
      </c>
      <c r="C517">
        <v>6</v>
      </c>
      <c r="D517">
        <v>0</v>
      </c>
    </row>
    <row r="518" spans="1:4" x14ac:dyDescent="0.25">
      <c r="A518">
        <v>517</v>
      </c>
      <c r="B518" t="s">
        <v>19</v>
      </c>
      <c r="C518">
        <v>7</v>
      </c>
      <c r="D518">
        <v>0</v>
      </c>
    </row>
    <row r="519" spans="1:4" x14ac:dyDescent="0.25">
      <c r="A519">
        <v>518</v>
      </c>
      <c r="B519" t="s">
        <v>19</v>
      </c>
      <c r="C519">
        <v>8</v>
      </c>
      <c r="D519">
        <v>0</v>
      </c>
    </row>
    <row r="520" spans="1:4" x14ac:dyDescent="0.25">
      <c r="A520">
        <v>519</v>
      </c>
      <c r="B520" t="s">
        <v>19</v>
      </c>
      <c r="C520">
        <v>9</v>
      </c>
      <c r="D520">
        <v>0</v>
      </c>
    </row>
    <row r="521" spans="1:4" x14ac:dyDescent="0.25">
      <c r="A521">
        <v>520</v>
      </c>
      <c r="B521" t="s">
        <v>19</v>
      </c>
      <c r="C521">
        <v>10</v>
      </c>
      <c r="D521">
        <v>5</v>
      </c>
    </row>
    <row r="522" spans="1:4" x14ac:dyDescent="0.25">
      <c r="A522">
        <v>521</v>
      </c>
      <c r="B522" t="s">
        <v>19</v>
      </c>
      <c r="C522">
        <v>11</v>
      </c>
      <c r="D522">
        <v>5</v>
      </c>
    </row>
    <row r="523" spans="1:4" x14ac:dyDescent="0.25">
      <c r="A523">
        <v>522</v>
      </c>
      <c r="B523" t="s">
        <v>19</v>
      </c>
      <c r="C523">
        <v>12</v>
      </c>
      <c r="D523">
        <v>6</v>
      </c>
    </row>
    <row r="524" spans="1:4" x14ac:dyDescent="0.25">
      <c r="A524">
        <v>523</v>
      </c>
      <c r="B524" t="s">
        <v>19</v>
      </c>
      <c r="C524">
        <v>13</v>
      </c>
      <c r="D524">
        <v>7</v>
      </c>
    </row>
    <row r="525" spans="1:4" x14ac:dyDescent="0.25">
      <c r="A525">
        <v>524</v>
      </c>
      <c r="B525" t="s">
        <v>19</v>
      </c>
      <c r="C525">
        <v>14</v>
      </c>
      <c r="D525">
        <v>8</v>
      </c>
    </row>
    <row r="526" spans="1:4" x14ac:dyDescent="0.25">
      <c r="A526">
        <v>525</v>
      </c>
      <c r="B526" t="s">
        <v>19</v>
      </c>
      <c r="C526">
        <v>15</v>
      </c>
      <c r="D526">
        <v>10</v>
      </c>
    </row>
    <row r="527" spans="1:4" x14ac:dyDescent="0.25">
      <c r="A527">
        <v>526</v>
      </c>
      <c r="B527" t="s">
        <v>19</v>
      </c>
      <c r="C527">
        <v>16</v>
      </c>
      <c r="D527">
        <v>11</v>
      </c>
    </row>
    <row r="528" spans="1:4" x14ac:dyDescent="0.25">
      <c r="A528">
        <v>527</v>
      </c>
      <c r="B528" t="s">
        <v>19</v>
      </c>
      <c r="C528">
        <v>17</v>
      </c>
      <c r="D528">
        <v>11</v>
      </c>
    </row>
    <row r="529" spans="1:4" x14ac:dyDescent="0.25">
      <c r="A529">
        <v>528</v>
      </c>
      <c r="B529" t="s">
        <v>19</v>
      </c>
      <c r="C529">
        <v>18</v>
      </c>
      <c r="D529">
        <v>12</v>
      </c>
    </row>
    <row r="530" spans="1:4" x14ac:dyDescent="0.25">
      <c r="A530">
        <v>529</v>
      </c>
      <c r="B530" t="s">
        <v>19</v>
      </c>
      <c r="C530">
        <v>19</v>
      </c>
      <c r="D530">
        <v>14</v>
      </c>
    </row>
    <row r="531" spans="1:4" x14ac:dyDescent="0.25">
      <c r="A531">
        <v>530</v>
      </c>
      <c r="B531" t="s">
        <v>19</v>
      </c>
      <c r="C531">
        <v>20</v>
      </c>
      <c r="D531">
        <v>15</v>
      </c>
    </row>
    <row r="532" spans="1:4" x14ac:dyDescent="0.25">
      <c r="A532">
        <v>531</v>
      </c>
      <c r="B532" t="s">
        <v>19</v>
      </c>
      <c r="C532">
        <v>21</v>
      </c>
      <c r="D532">
        <v>3</v>
      </c>
    </row>
    <row r="533" spans="1:4" x14ac:dyDescent="0.25">
      <c r="A533">
        <v>532</v>
      </c>
      <c r="B533" t="s">
        <v>19</v>
      </c>
      <c r="C533">
        <v>22</v>
      </c>
      <c r="D533">
        <v>0</v>
      </c>
    </row>
    <row r="534" spans="1:4" x14ac:dyDescent="0.25">
      <c r="A534">
        <v>533</v>
      </c>
      <c r="B534" t="s">
        <v>19</v>
      </c>
      <c r="C534">
        <v>23</v>
      </c>
      <c r="D534">
        <v>0</v>
      </c>
    </row>
    <row r="535" spans="1:4" x14ac:dyDescent="0.25">
      <c r="A535">
        <v>534</v>
      </c>
      <c r="B535" t="s">
        <v>19</v>
      </c>
      <c r="C535">
        <v>24</v>
      </c>
      <c r="D535">
        <v>0</v>
      </c>
    </row>
    <row r="536" spans="1:4" x14ac:dyDescent="0.25">
      <c r="A536">
        <v>535</v>
      </c>
      <c r="B536" t="s">
        <v>19</v>
      </c>
      <c r="C536">
        <v>25</v>
      </c>
      <c r="D536">
        <v>0</v>
      </c>
    </row>
    <row r="537" spans="1:4" x14ac:dyDescent="0.25">
      <c r="A537">
        <v>536</v>
      </c>
      <c r="B537" t="s">
        <v>19</v>
      </c>
      <c r="C537">
        <v>26</v>
      </c>
      <c r="D537">
        <v>0</v>
      </c>
    </row>
    <row r="538" spans="1:4" x14ac:dyDescent="0.25">
      <c r="A538">
        <v>537</v>
      </c>
      <c r="B538" t="s">
        <v>19</v>
      </c>
      <c r="C538">
        <v>27</v>
      </c>
      <c r="D538">
        <v>0</v>
      </c>
    </row>
    <row r="539" spans="1:4" x14ac:dyDescent="0.25">
      <c r="A539">
        <v>538</v>
      </c>
      <c r="B539" t="s">
        <v>19</v>
      </c>
      <c r="C539">
        <v>28</v>
      </c>
      <c r="D539">
        <v>0</v>
      </c>
    </row>
    <row r="540" spans="1:4" x14ac:dyDescent="0.25">
      <c r="A540">
        <v>539</v>
      </c>
      <c r="B540" t="s">
        <v>19</v>
      </c>
      <c r="C540">
        <v>29</v>
      </c>
      <c r="D540">
        <v>0</v>
      </c>
    </row>
    <row r="541" spans="1:4" x14ac:dyDescent="0.25">
      <c r="A541">
        <v>540</v>
      </c>
      <c r="B541" t="s">
        <v>19</v>
      </c>
      <c r="C541">
        <v>30</v>
      </c>
      <c r="D541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Dashboard</vt:lpstr>
      <vt:lpstr>Calculation</vt:lpstr>
      <vt:lpstr>Data</vt:lpstr>
      <vt:lpstr>Calculation.MaxWorkHours</vt:lpstr>
      <vt:lpstr>Calculation.WorstCalenderDay</vt:lpstr>
      <vt:lpstr>Dashboard.CurrentColumn</vt:lpstr>
      <vt:lpstr>Dashboard.CurrentRow</vt:lpstr>
      <vt:lpstr>Dashboard.GanttChartArea</vt:lpstr>
      <vt:lpstr>Dashboard.Hoursworked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Goldmeier</dc:creator>
  <cp:lastModifiedBy>Jordan Goldmeier</cp:lastModifiedBy>
  <cp:lastPrinted>2014-05-12T12:49:37Z</cp:lastPrinted>
  <dcterms:created xsi:type="dcterms:W3CDTF">2014-02-03T19:00:22Z</dcterms:created>
  <dcterms:modified xsi:type="dcterms:W3CDTF">2015-08-02T20:38:47Z</dcterms:modified>
</cp:coreProperties>
</file>