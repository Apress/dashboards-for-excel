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Advanced Excel Essentials\Chapter Files\Chapter 8\"/>
    </mc:Choice>
  </mc:AlternateContent>
  <bookViews>
    <workbookView xWindow="0" yWindow="0" windowWidth="20490" windowHeight="8655"/>
  </bookViews>
  <sheets>
    <sheet name="Welcome" sheetId="4" r:id="rId1"/>
    <sheet name="Wizard" sheetId="1" r:id="rId2"/>
    <sheet name="Database" sheetId="3" r:id="rId3"/>
    <sheet name="Analysis" sheetId="5" r:id="rId4"/>
    <sheet name="Helper" sheetId="2" r:id="rId5"/>
  </sheets>
  <definedNames>
    <definedName name="Analysis.SortColumnId">Analysis!$D$32</definedName>
    <definedName name="Database.CountryNameList">Database!$B$9:INDEX(Database!$B:$B,Database.RecordCount+ROW(Database!$B$9) - 1,1)</definedName>
    <definedName name="Database.CurrentCountryID">Database!$B$6</definedName>
    <definedName name="Database.CurrentIndex">Database!$B$6</definedName>
    <definedName name="Database.FinancialFairnessWeight">Database!$K$7</definedName>
    <definedName name="Database.HealthDistributionWeight">Database!$L$7</definedName>
    <definedName name="Database.HealthLevelWeight">Database!$I$7</definedName>
    <definedName name="Database.InputEntry">Database!$A$2:$H$2</definedName>
    <definedName name="Database.RecordCount">Database!$B$4</definedName>
    <definedName name="Database.RecordMax">Database!$B$5</definedName>
    <definedName name="Database.ResponsivenessDistributionWeight">Database!$M$7</definedName>
    <definedName name="Database.ResponsivenessWeight">Database!$J$7</definedName>
    <definedName name="Helper.CurrentPageIndex">Helper!$B$1</definedName>
    <definedName name="Helper.FinancialFairnessWeight">Helper!$D$7</definedName>
    <definedName name="Helper.HealthDistributionWeight">Helper!$D$8</definedName>
    <definedName name="Helper.HealthLevelWeight">Helper!$D$5</definedName>
    <definedName name="Helper.LinkedValues">Helper!$B$5:$B$9</definedName>
    <definedName name="Helper.ResponsivenessDistributionWeight">Helper!$D$9</definedName>
    <definedName name="Helper.ResponsivenessWeight">Helper!$D$6</definedName>
    <definedName name="Helper.SavedWeights">Helper!$A$20:$A$24</definedName>
    <definedName name="Helper.TotalPages">Helper!$B$2</definedName>
    <definedName name="Wizard.CheckboxAnchor">Wizard!$L$4:$L$11</definedName>
    <definedName name="Wizard.Comment">Wizard!$G$6</definedName>
    <definedName name="Wizard.CountryName">Wizard!$G$4</definedName>
    <definedName name="Wizard.FinancialFairness">Wizard!$O$8</definedName>
    <definedName name="Wizard.HealthDistribution">Wizard!$O$10</definedName>
    <definedName name="Wizard.HealthLevel">Wizard!$O$4</definedName>
    <definedName name="Wizard.Responsiveness">Wizard!$O$6</definedName>
    <definedName name="Wizard.ResponsivenessDistribution">Wizard!$O$12</definedName>
    <definedName name="Wizard.StepRange">Wizard!$B$4:$B$6</definedName>
    <definedName name="Wizard.View1">Wizard!$D:$J</definedName>
    <definedName name="Wizard.View1.FirstFocus">Wizard!$G$4</definedName>
    <definedName name="Wizard.View2">Wizard!$K:$Q</definedName>
    <definedName name="Wizard.View2.FirstFocus">Wizard!$O$4</definedName>
    <definedName name="Wizard.View3">Wizard!$R:$W</definedName>
    <definedName name="Wizard.View4">Wizard!$X:$AE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4" i="5" l="1"/>
  <c r="A35" i="5" s="1"/>
  <c r="D32" i="5"/>
  <c r="G54" i="5" s="1"/>
  <c r="G3" i="5" s="1"/>
  <c r="B33" i="5" l="1"/>
  <c r="M54" i="5"/>
  <c r="M3" i="5" s="1"/>
  <c r="K54" i="5"/>
  <c r="K3" i="5" s="1"/>
  <c r="E54" i="5"/>
  <c r="E3" i="5" s="1"/>
  <c r="I54" i="5"/>
  <c r="I3" i="5" s="1"/>
  <c r="O54" i="5"/>
  <c r="D4" i="5" s="1"/>
  <c r="M27" i="5"/>
  <c r="K27" i="5"/>
  <c r="I27" i="5"/>
  <c r="G27" i="5"/>
  <c r="E27" i="5"/>
  <c r="D27" i="5"/>
  <c r="A6" i="5" l="1"/>
  <c r="C6" i="2"/>
  <c r="C7" i="2"/>
  <c r="C8" i="2"/>
  <c r="C9" i="2"/>
  <c r="C5" i="2"/>
  <c r="A36" i="5" l="1"/>
  <c r="A7" i="5"/>
  <c r="C10" i="2"/>
  <c r="D8" i="2" s="1"/>
  <c r="B5" i="3"/>
  <c r="B4" i="3"/>
  <c r="A37" i="5" l="1"/>
  <c r="A8" i="5"/>
  <c r="L23" i="3"/>
  <c r="L15" i="3"/>
  <c r="L11" i="3"/>
  <c r="L44" i="3"/>
  <c r="L40" i="3"/>
  <c r="L47" i="3"/>
  <c r="L41" i="3"/>
  <c r="L37" i="3"/>
  <c r="L18" i="3"/>
  <c r="L28" i="3"/>
  <c r="K4" i="5"/>
  <c r="K5" i="5" s="1"/>
  <c r="L25" i="3"/>
  <c r="L16" i="3"/>
  <c r="L45" i="3"/>
  <c r="L35" i="3"/>
  <c r="L32" i="3"/>
  <c r="L39" i="3"/>
  <c r="L14" i="3"/>
  <c r="L46" i="3"/>
  <c r="L34" i="3"/>
  <c r="L22" i="3"/>
  <c r="L24" i="3"/>
  <c r="L13" i="3"/>
  <c r="L27" i="3"/>
  <c r="L20" i="3"/>
  <c r="L33" i="3"/>
  <c r="L26" i="3"/>
  <c r="L9" i="3"/>
  <c r="L36" i="3"/>
  <c r="L42" i="3"/>
  <c r="L7" i="3"/>
  <c r="L17" i="3"/>
  <c r="L21" i="3"/>
  <c r="L38" i="3"/>
  <c r="L43" i="3"/>
  <c r="L30" i="3"/>
  <c r="L19" i="3"/>
  <c r="L31" i="3"/>
  <c r="L12" i="3"/>
  <c r="L29" i="3"/>
  <c r="L10" i="3"/>
  <c r="D7" i="2"/>
  <c r="D6" i="2"/>
  <c r="D9" i="2"/>
  <c r="D5" i="2"/>
  <c r="A2" i="3"/>
  <c r="A9" i="5" l="1"/>
  <c r="A38" i="5"/>
  <c r="M4" i="5"/>
  <c r="M5" i="5" s="1"/>
  <c r="M17" i="3"/>
  <c r="M21" i="3"/>
  <c r="M38" i="3"/>
  <c r="M43" i="3"/>
  <c r="M30" i="3"/>
  <c r="M19" i="3"/>
  <c r="M31" i="3"/>
  <c r="M12" i="3"/>
  <c r="M29" i="3"/>
  <c r="M10" i="3"/>
  <c r="M23" i="3"/>
  <c r="M15" i="3"/>
  <c r="M11" i="3"/>
  <c r="M44" i="3"/>
  <c r="M40" i="3"/>
  <c r="M47" i="3"/>
  <c r="M41" i="3"/>
  <c r="M37" i="3"/>
  <c r="M18" i="3"/>
  <c r="M28" i="3"/>
  <c r="M25" i="3"/>
  <c r="M16" i="3"/>
  <c r="M45" i="3"/>
  <c r="M35" i="3"/>
  <c r="M32" i="3"/>
  <c r="M39" i="3"/>
  <c r="M14" i="3"/>
  <c r="M46" i="3"/>
  <c r="M34" i="3"/>
  <c r="M22" i="3"/>
  <c r="M24" i="3"/>
  <c r="M13" i="3"/>
  <c r="M27" i="3"/>
  <c r="M20" i="3"/>
  <c r="M33" i="3"/>
  <c r="M26" i="3"/>
  <c r="M9" i="3"/>
  <c r="M36" i="3"/>
  <c r="M42" i="3"/>
  <c r="J22" i="3"/>
  <c r="J24" i="3"/>
  <c r="J13" i="3"/>
  <c r="J27" i="3"/>
  <c r="J20" i="3"/>
  <c r="J33" i="3"/>
  <c r="J26" i="3"/>
  <c r="J9" i="3"/>
  <c r="J36" i="3"/>
  <c r="J42" i="3"/>
  <c r="J17" i="3"/>
  <c r="J21" i="3"/>
  <c r="J38" i="3"/>
  <c r="J43" i="3"/>
  <c r="J30" i="3"/>
  <c r="J19" i="3"/>
  <c r="J31" i="3"/>
  <c r="J12" i="3"/>
  <c r="J29" i="3"/>
  <c r="J10" i="3"/>
  <c r="M7" i="3"/>
  <c r="J7" i="3"/>
  <c r="J23" i="3"/>
  <c r="J15" i="3"/>
  <c r="J11" i="3"/>
  <c r="J44" i="3"/>
  <c r="J40" i="3"/>
  <c r="J47" i="3"/>
  <c r="J41" i="3"/>
  <c r="J37" i="3"/>
  <c r="J18" i="3"/>
  <c r="J28" i="3"/>
  <c r="G4" i="5"/>
  <c r="G5" i="5" s="1"/>
  <c r="J25" i="3"/>
  <c r="J16" i="3"/>
  <c r="J45" i="3"/>
  <c r="J35" i="3"/>
  <c r="J32" i="3"/>
  <c r="J39" i="3"/>
  <c r="J14" i="3"/>
  <c r="J46" i="3"/>
  <c r="J34" i="3"/>
  <c r="K25" i="3"/>
  <c r="K16" i="3"/>
  <c r="K45" i="3"/>
  <c r="K35" i="3"/>
  <c r="K32" i="3"/>
  <c r="K39" i="3"/>
  <c r="K14" i="3"/>
  <c r="K46" i="3"/>
  <c r="K34" i="3"/>
  <c r="K22" i="3"/>
  <c r="K24" i="3"/>
  <c r="K13" i="3"/>
  <c r="K27" i="3"/>
  <c r="K20" i="3"/>
  <c r="K33" i="3"/>
  <c r="K26" i="3"/>
  <c r="K9" i="3"/>
  <c r="K36" i="3"/>
  <c r="K42" i="3"/>
  <c r="I4" i="5"/>
  <c r="I5" i="5" s="1"/>
  <c r="K17" i="3"/>
  <c r="K21" i="3"/>
  <c r="K38" i="3"/>
  <c r="K43" i="3"/>
  <c r="K30" i="3"/>
  <c r="K19" i="3"/>
  <c r="K31" i="3"/>
  <c r="K12" i="3"/>
  <c r="K29" i="3"/>
  <c r="K10" i="3"/>
  <c r="K7" i="3"/>
  <c r="K23" i="3"/>
  <c r="K15" i="3"/>
  <c r="K11" i="3"/>
  <c r="K44" i="3"/>
  <c r="K40" i="3"/>
  <c r="K47" i="3"/>
  <c r="K41" i="3"/>
  <c r="K37" i="3"/>
  <c r="K18" i="3"/>
  <c r="K28" i="3"/>
  <c r="E4" i="5"/>
  <c r="E5" i="5" s="1"/>
  <c r="I10" i="3"/>
  <c r="I29" i="3"/>
  <c r="I12" i="3"/>
  <c r="I31" i="3"/>
  <c r="I19" i="3"/>
  <c r="I30" i="3"/>
  <c r="I43" i="3"/>
  <c r="I38" i="3"/>
  <c r="I21" i="3"/>
  <c r="I17" i="3"/>
  <c r="I22" i="3"/>
  <c r="I42" i="3"/>
  <c r="I36" i="3"/>
  <c r="I9" i="3"/>
  <c r="I26" i="3"/>
  <c r="I33" i="3"/>
  <c r="I20" i="3"/>
  <c r="I27" i="3"/>
  <c r="I13" i="3"/>
  <c r="I24" i="3"/>
  <c r="I7" i="3"/>
  <c r="I34" i="3"/>
  <c r="I46" i="3"/>
  <c r="I14" i="3"/>
  <c r="I39" i="3"/>
  <c r="I32" i="3"/>
  <c r="I35" i="3"/>
  <c r="I45" i="3"/>
  <c r="I16" i="3"/>
  <c r="I25" i="3"/>
  <c r="I28" i="3"/>
  <c r="I18" i="3"/>
  <c r="I37" i="3"/>
  <c r="I41" i="3"/>
  <c r="I47" i="3"/>
  <c r="I40" i="3"/>
  <c r="I44" i="3"/>
  <c r="I11" i="3"/>
  <c r="I15" i="3"/>
  <c r="I23" i="3"/>
  <c r="D10" i="2"/>
  <c r="B2" i="3"/>
  <c r="C2" i="3"/>
  <c r="D2" i="3"/>
  <c r="E2" i="3"/>
  <c r="F2" i="3"/>
  <c r="G2" i="3"/>
  <c r="H2" i="3"/>
  <c r="A39" i="5" l="1"/>
  <c r="A10" i="5"/>
  <c r="N23" i="3"/>
  <c r="O23" i="3" s="1"/>
  <c r="N40" i="3"/>
  <c r="O40" i="3" s="1"/>
  <c r="N35" i="3"/>
  <c r="O35" i="3" s="1"/>
  <c r="N46" i="3"/>
  <c r="O46" i="3" s="1"/>
  <c r="N13" i="3"/>
  <c r="O13" i="3" s="1"/>
  <c r="N26" i="3"/>
  <c r="O26" i="3" s="1"/>
  <c r="N43" i="3"/>
  <c r="O43" i="3" s="1"/>
  <c r="N12" i="3"/>
  <c r="O12" i="3" s="1"/>
  <c r="N15" i="3"/>
  <c r="O15" i="3" s="1"/>
  <c r="N28" i="3"/>
  <c r="O28" i="3" s="1"/>
  <c r="N47" i="3"/>
  <c r="O47" i="3" s="1"/>
  <c r="N22" i="3"/>
  <c r="O22" i="3" s="1"/>
  <c r="N44" i="3"/>
  <c r="O44" i="3" s="1"/>
  <c r="N37" i="3"/>
  <c r="O37" i="3" s="1"/>
  <c r="N11" i="3"/>
  <c r="O11" i="3" s="1"/>
  <c r="N41" i="3"/>
  <c r="O41" i="3" s="1"/>
  <c r="N16" i="3"/>
  <c r="O16" i="3" s="1"/>
  <c r="N39" i="3"/>
  <c r="O39" i="3" s="1"/>
  <c r="N20" i="3"/>
  <c r="O20" i="3" s="1"/>
  <c r="N36" i="3"/>
  <c r="O36" i="3" s="1"/>
  <c r="N21" i="3"/>
  <c r="O21" i="3" s="1"/>
  <c r="N19" i="3"/>
  <c r="O19" i="3" s="1"/>
  <c r="N10" i="3"/>
  <c r="O10" i="3" s="1"/>
  <c r="N18" i="3"/>
  <c r="O18" i="3" s="1"/>
  <c r="N45" i="3"/>
  <c r="O45" i="3" s="1"/>
  <c r="N14" i="3"/>
  <c r="O14" i="3" s="1"/>
  <c r="N24" i="3"/>
  <c r="O24" i="3" s="1"/>
  <c r="N33" i="3"/>
  <c r="O33" i="3" s="1"/>
  <c r="N42" i="3"/>
  <c r="O42" i="3" s="1"/>
  <c r="N38" i="3"/>
  <c r="O38" i="3" s="1"/>
  <c r="N31" i="3"/>
  <c r="O31" i="3" s="1"/>
  <c r="N25" i="3"/>
  <c r="O25" i="3" s="1"/>
  <c r="N32" i="3"/>
  <c r="O32" i="3" s="1"/>
  <c r="N34" i="3"/>
  <c r="O34" i="3" s="1"/>
  <c r="N27" i="3"/>
  <c r="O27" i="3" s="1"/>
  <c r="N9" i="3"/>
  <c r="O9" i="3" s="1"/>
  <c r="N17" i="3"/>
  <c r="O17" i="3" s="1"/>
  <c r="N30" i="3"/>
  <c r="O30" i="3" s="1"/>
  <c r="N29" i="3"/>
  <c r="O29" i="3" s="1"/>
  <c r="L2" i="1"/>
  <c r="A4" i="1"/>
  <c r="A5" i="1"/>
  <c r="A6" i="1"/>
  <c r="B34" i="5" l="1"/>
  <c r="C34" i="5" s="1"/>
  <c r="E34" i="5" s="1"/>
  <c r="A40" i="5"/>
  <c r="A11" i="5"/>
  <c r="B37" i="5"/>
  <c r="C37" i="5" s="1"/>
  <c r="B38" i="5"/>
  <c r="C38" i="5" s="1"/>
  <c r="B36" i="5"/>
  <c r="C36" i="5" s="1"/>
  <c r="B35" i="5"/>
  <c r="C35" i="5" s="1"/>
  <c r="B39" i="5"/>
  <c r="C39" i="5" s="1"/>
  <c r="B40" i="5"/>
  <c r="C40" i="5" s="1"/>
  <c r="Y2" i="1"/>
  <c r="M39" i="5" l="1"/>
  <c r="M11" i="5" s="1"/>
  <c r="E39" i="5"/>
  <c r="E11" i="5" s="1"/>
  <c r="G39" i="5"/>
  <c r="G11" i="5" s="1"/>
  <c r="K39" i="5"/>
  <c r="K11" i="5" s="1"/>
  <c r="M35" i="5"/>
  <c r="M7" i="5" s="1"/>
  <c r="G35" i="5"/>
  <c r="G7" i="5" s="1"/>
  <c r="E35" i="5"/>
  <c r="E7" i="5" s="1"/>
  <c r="K35" i="5"/>
  <c r="K7" i="5" s="1"/>
  <c r="E37" i="5"/>
  <c r="E9" i="5" s="1"/>
  <c r="M37" i="5"/>
  <c r="M9" i="5" s="1"/>
  <c r="K37" i="5"/>
  <c r="K9" i="5" s="1"/>
  <c r="G37" i="5"/>
  <c r="G9" i="5" s="1"/>
  <c r="M38" i="5"/>
  <c r="M10" i="5" s="1"/>
  <c r="K38" i="5"/>
  <c r="K10" i="5" s="1"/>
  <c r="G38" i="5"/>
  <c r="G10" i="5" s="1"/>
  <c r="E38" i="5"/>
  <c r="E10" i="5" s="1"/>
  <c r="M36" i="5"/>
  <c r="M8" i="5" s="1"/>
  <c r="K36" i="5"/>
  <c r="K8" i="5" s="1"/>
  <c r="G36" i="5"/>
  <c r="G8" i="5" s="1"/>
  <c r="E36" i="5"/>
  <c r="E8" i="5" s="1"/>
  <c r="M40" i="5"/>
  <c r="M12" i="5" s="1"/>
  <c r="K40" i="5"/>
  <c r="K12" i="5" s="1"/>
  <c r="G40" i="5"/>
  <c r="G12" i="5" s="1"/>
  <c r="E40" i="5"/>
  <c r="E12" i="5" s="1"/>
  <c r="M34" i="5"/>
  <c r="M6" i="5" s="1"/>
  <c r="K34" i="5"/>
  <c r="K6" i="5" s="1"/>
  <c r="G34" i="5"/>
  <c r="G6" i="5" s="1"/>
  <c r="I34" i="5"/>
  <c r="I6" i="5" s="1"/>
  <c r="E6" i="5"/>
  <c r="I35" i="5"/>
  <c r="I7" i="5" s="1"/>
  <c r="I37" i="5"/>
  <c r="I9" i="5" s="1"/>
  <c r="I36" i="5"/>
  <c r="I8" i="5" s="1"/>
  <c r="I39" i="5"/>
  <c r="I11" i="5" s="1"/>
  <c r="I38" i="5"/>
  <c r="I10" i="5" s="1"/>
  <c r="I40" i="5"/>
  <c r="I12" i="5" s="1"/>
  <c r="A41" i="5"/>
  <c r="A12" i="5"/>
  <c r="D35" i="5"/>
  <c r="B7" i="5" s="1"/>
  <c r="O35" i="5"/>
  <c r="D7" i="5" s="1"/>
  <c r="D36" i="5"/>
  <c r="B8" i="5" s="1"/>
  <c r="O36" i="5"/>
  <c r="D8" i="5" s="1"/>
  <c r="O39" i="5"/>
  <c r="D11" i="5" s="1"/>
  <c r="D39" i="5"/>
  <c r="B11" i="5" s="1"/>
  <c r="O38" i="5"/>
  <c r="D10" i="5" s="1"/>
  <c r="D38" i="5"/>
  <c r="B10" i="5" s="1"/>
  <c r="O40" i="5"/>
  <c r="D12" i="5" s="1"/>
  <c r="D40" i="5"/>
  <c r="B12" i="5" s="1"/>
  <c r="O34" i="5"/>
  <c r="D6" i="5" s="1"/>
  <c r="D34" i="5"/>
  <c r="B6" i="5" s="1"/>
  <c r="O37" i="5"/>
  <c r="D9" i="5" s="1"/>
  <c r="D37" i="5"/>
  <c r="B9" i="5" s="1"/>
  <c r="S2" i="1"/>
  <c r="E2" i="1"/>
  <c r="B13" i="1"/>
  <c r="C9" i="5" l="1"/>
  <c r="C11" i="5"/>
  <c r="C8" i="5"/>
  <c r="C7" i="5"/>
  <c r="C12" i="5"/>
  <c r="C6" i="5"/>
  <c r="C10" i="5"/>
  <c r="A42" i="5"/>
  <c r="A13" i="5"/>
  <c r="B41" i="5"/>
  <c r="C41" i="5" s="1"/>
  <c r="E41" i="5" l="1"/>
  <c r="E13" i="5" s="1"/>
  <c r="M41" i="5"/>
  <c r="M13" i="5" s="1"/>
  <c r="K41" i="5"/>
  <c r="K13" i="5" s="1"/>
  <c r="G41" i="5"/>
  <c r="G13" i="5" s="1"/>
  <c r="I41" i="5"/>
  <c r="I13" i="5" s="1"/>
  <c r="O41" i="5"/>
  <c r="D13" i="5" s="1"/>
  <c r="D41" i="5"/>
  <c r="B13" i="5" s="1"/>
  <c r="A43" i="5"/>
  <c r="A14" i="5"/>
  <c r="B42" i="5"/>
  <c r="C42" i="5" s="1"/>
  <c r="M42" i="5" l="1"/>
  <c r="M14" i="5" s="1"/>
  <c r="K42" i="5"/>
  <c r="K14" i="5" s="1"/>
  <c r="G42" i="5"/>
  <c r="G14" i="5" s="1"/>
  <c r="E42" i="5"/>
  <c r="E14" i="5" s="1"/>
  <c r="I42" i="5"/>
  <c r="I14" i="5" s="1"/>
  <c r="C13" i="5"/>
  <c r="O42" i="5"/>
  <c r="D14" i="5" s="1"/>
  <c r="D42" i="5"/>
  <c r="B14" i="5" s="1"/>
  <c r="A44" i="5"/>
  <c r="A15" i="5"/>
  <c r="B43" i="5"/>
  <c r="C43" i="5" s="1"/>
  <c r="M43" i="5" l="1"/>
  <c r="M15" i="5" s="1"/>
  <c r="K43" i="5"/>
  <c r="K15" i="5" s="1"/>
  <c r="E43" i="5"/>
  <c r="E15" i="5" s="1"/>
  <c r="G43" i="5"/>
  <c r="G15" i="5" s="1"/>
  <c r="I43" i="5"/>
  <c r="I15" i="5" s="1"/>
  <c r="C14" i="5"/>
  <c r="A45" i="5"/>
  <c r="A46" i="5" s="1"/>
  <c r="A16" i="5"/>
  <c r="B44" i="5"/>
  <c r="C44" i="5" s="1"/>
  <c r="O43" i="5"/>
  <c r="D15" i="5" s="1"/>
  <c r="D43" i="5"/>
  <c r="B15" i="5" s="1"/>
  <c r="M44" i="5" l="1"/>
  <c r="M16" i="5" s="1"/>
  <c r="K44" i="5"/>
  <c r="K16" i="5" s="1"/>
  <c r="G44" i="5"/>
  <c r="G16" i="5" s="1"/>
  <c r="E44" i="5"/>
  <c r="E16" i="5" s="1"/>
  <c r="I44" i="5"/>
  <c r="I16" i="5" s="1"/>
  <c r="C15" i="5"/>
  <c r="O44" i="5"/>
  <c r="D16" i="5" s="1"/>
  <c r="D44" i="5"/>
  <c r="B16" i="5" s="1"/>
  <c r="A17" i="5"/>
  <c r="B45" i="5"/>
  <c r="C45" i="5" s="1"/>
  <c r="E45" i="5" l="1"/>
  <c r="E17" i="5" s="1"/>
  <c r="M45" i="5"/>
  <c r="M17" i="5" s="1"/>
  <c r="K45" i="5"/>
  <c r="K17" i="5" s="1"/>
  <c r="G45" i="5"/>
  <c r="G17" i="5" s="1"/>
  <c r="I45" i="5"/>
  <c r="I17" i="5" s="1"/>
  <c r="C16" i="5"/>
  <c r="A47" i="5"/>
  <c r="A18" i="5"/>
  <c r="B46" i="5"/>
  <c r="C46" i="5" s="1"/>
  <c r="O45" i="5"/>
  <c r="D17" i="5" s="1"/>
  <c r="D45" i="5"/>
  <c r="B17" i="5" s="1"/>
  <c r="M46" i="5" l="1"/>
  <c r="M18" i="5" s="1"/>
  <c r="K46" i="5"/>
  <c r="K18" i="5" s="1"/>
  <c r="G46" i="5"/>
  <c r="G18" i="5" s="1"/>
  <c r="E46" i="5"/>
  <c r="E18" i="5" s="1"/>
  <c r="I46" i="5"/>
  <c r="I18" i="5" s="1"/>
  <c r="C17" i="5"/>
  <c r="O46" i="5"/>
  <c r="D18" i="5" s="1"/>
  <c r="D46" i="5"/>
  <c r="B18" i="5" s="1"/>
  <c r="A48" i="5"/>
  <c r="A19" i="5"/>
  <c r="B47" i="5"/>
  <c r="C47" i="5" s="1"/>
  <c r="M47" i="5" l="1"/>
  <c r="M19" i="5" s="1"/>
  <c r="K47" i="5"/>
  <c r="K19" i="5" s="1"/>
  <c r="G47" i="5"/>
  <c r="G19" i="5" s="1"/>
  <c r="E47" i="5"/>
  <c r="E19" i="5" s="1"/>
  <c r="I47" i="5"/>
  <c r="I19" i="5" s="1"/>
  <c r="C18" i="5"/>
  <c r="A49" i="5"/>
  <c r="A20" i="5"/>
  <c r="B48" i="5"/>
  <c r="C48" i="5" s="1"/>
  <c r="D47" i="5"/>
  <c r="B19" i="5" s="1"/>
  <c r="O47" i="5"/>
  <c r="D19" i="5" s="1"/>
  <c r="M48" i="5" l="1"/>
  <c r="M20" i="5" s="1"/>
  <c r="K48" i="5"/>
  <c r="K20" i="5" s="1"/>
  <c r="G48" i="5"/>
  <c r="G20" i="5" s="1"/>
  <c r="E48" i="5"/>
  <c r="E20" i="5" s="1"/>
  <c r="I48" i="5"/>
  <c r="I20" i="5" s="1"/>
  <c r="C19" i="5"/>
  <c r="D48" i="5"/>
  <c r="B20" i="5" s="1"/>
  <c r="O48" i="5"/>
  <c r="D20" i="5" s="1"/>
  <c r="A50" i="5"/>
  <c r="A21" i="5"/>
  <c r="B49" i="5"/>
  <c r="C49" i="5" s="1"/>
  <c r="E49" i="5" l="1"/>
  <c r="E21" i="5" s="1"/>
  <c r="M49" i="5"/>
  <c r="M21" i="5" s="1"/>
  <c r="K49" i="5"/>
  <c r="K21" i="5" s="1"/>
  <c r="G49" i="5"/>
  <c r="G21" i="5" s="1"/>
  <c r="I49" i="5"/>
  <c r="I21" i="5" s="1"/>
  <c r="C20" i="5"/>
  <c r="A51" i="5"/>
  <c r="A22" i="5"/>
  <c r="B50" i="5"/>
  <c r="C50" i="5" s="1"/>
  <c r="D49" i="5"/>
  <c r="B21" i="5" s="1"/>
  <c r="O49" i="5"/>
  <c r="D21" i="5" s="1"/>
  <c r="M50" i="5" l="1"/>
  <c r="M22" i="5" s="1"/>
  <c r="K50" i="5"/>
  <c r="K22" i="5" s="1"/>
  <c r="G50" i="5"/>
  <c r="G22" i="5" s="1"/>
  <c r="E50" i="5"/>
  <c r="E22" i="5" s="1"/>
  <c r="I50" i="5"/>
  <c r="I22" i="5" s="1"/>
  <c r="C21" i="5"/>
  <c r="D50" i="5"/>
  <c r="B22" i="5" s="1"/>
  <c r="O50" i="5"/>
  <c r="D22" i="5" s="1"/>
  <c r="A52" i="5"/>
  <c r="A23" i="5"/>
  <c r="B51" i="5"/>
  <c r="C51" i="5" s="1"/>
  <c r="M51" i="5" l="1"/>
  <c r="M23" i="5" s="1"/>
  <c r="E51" i="5"/>
  <c r="E23" i="5" s="1"/>
  <c r="K51" i="5"/>
  <c r="K23" i="5" s="1"/>
  <c r="G51" i="5"/>
  <c r="G23" i="5" s="1"/>
  <c r="I51" i="5"/>
  <c r="I23" i="5" s="1"/>
  <c r="C22" i="5"/>
  <c r="A53" i="5"/>
  <c r="A24" i="5"/>
  <c r="B52" i="5"/>
  <c r="C52" i="5" s="1"/>
  <c r="D51" i="5"/>
  <c r="B23" i="5" s="1"/>
  <c r="O51" i="5"/>
  <c r="D23" i="5" s="1"/>
  <c r="M52" i="5" l="1"/>
  <c r="M24" i="5" s="1"/>
  <c r="K52" i="5"/>
  <c r="K24" i="5" s="1"/>
  <c r="G52" i="5"/>
  <c r="G24" i="5" s="1"/>
  <c r="E52" i="5"/>
  <c r="E24" i="5" s="1"/>
  <c r="I52" i="5"/>
  <c r="I24" i="5" s="1"/>
  <c r="C23" i="5"/>
  <c r="D52" i="5"/>
  <c r="B24" i="5" s="1"/>
  <c r="O52" i="5"/>
  <c r="D24" i="5" s="1"/>
  <c r="A25" i="5"/>
  <c r="B4" i="5" s="1"/>
  <c r="B53" i="5"/>
  <c r="C53" i="5" s="1"/>
  <c r="E53" i="5" l="1"/>
  <c r="E25" i="5" s="1"/>
  <c r="M53" i="5"/>
  <c r="M25" i="5" s="1"/>
  <c r="K53" i="5"/>
  <c r="K25" i="5" s="1"/>
  <c r="G53" i="5"/>
  <c r="G25" i="5" s="1"/>
  <c r="I53" i="5"/>
  <c r="I25" i="5" s="1"/>
  <c r="C24" i="5"/>
  <c r="O53" i="5"/>
  <c r="D25" i="5" s="1"/>
  <c r="D53" i="5"/>
  <c r="B25" i="5" s="1"/>
  <c r="C25" i="5" l="1"/>
</calcChain>
</file>

<file path=xl/sharedStrings.xml><?xml version="1.0" encoding="utf-8"?>
<sst xmlns="http://schemas.openxmlformats.org/spreadsheetml/2006/main" count="126" uniqueCount="95">
  <si>
    <t>Complete all steps</t>
  </si>
  <si>
    <t>Current Page Index</t>
  </si>
  <si>
    <t>Total Pages</t>
  </si>
  <si>
    <t>1. Introduction</t>
  </si>
  <si>
    <t>Comment</t>
  </si>
  <si>
    <t>2. Country Information</t>
  </si>
  <si>
    <t>3. Summary</t>
  </si>
  <si>
    <t>Country Name</t>
  </si>
  <si>
    <t>Responsiveness Distribution</t>
  </si>
  <si>
    <t>Health Distribution</t>
  </si>
  <si>
    <t>Health Level</t>
  </si>
  <si>
    <t>Responsiveness</t>
  </si>
  <si>
    <t>Financial Fairness</t>
  </si>
  <si>
    <t>County Comment</t>
  </si>
  <si>
    <t>N/A</t>
  </si>
  <si>
    <t>Record Count</t>
  </si>
  <si>
    <t>Current Index</t>
  </si>
  <si>
    <t>Country Id</t>
  </si>
  <si>
    <t>A country of smallish size.</t>
  </si>
  <si>
    <t>Country Comment</t>
  </si>
  <si>
    <t xml:space="preserve">The land of the vampires, ghosts, and lovely cupcakes. </t>
  </si>
  <si>
    <r>
      <t xml:space="preserve">Or, use the </t>
    </r>
    <r>
      <rPr>
        <b/>
        <sz val="11"/>
        <color theme="1"/>
        <rFont val="Segoe UI"/>
        <family val="2"/>
      </rPr>
      <t>Back</t>
    </r>
    <r>
      <rPr>
        <sz val="11"/>
        <color theme="1"/>
        <rFont val="Segoe UI"/>
        <family val="2"/>
      </rPr>
      <t xml:space="preserve"> button to change your responses. </t>
    </r>
  </si>
  <si>
    <r>
      <rPr>
        <b/>
        <sz val="11"/>
        <color theme="1"/>
        <rFont val="Segoe UI"/>
        <family val="2"/>
      </rPr>
      <t>Finished?</t>
    </r>
    <r>
      <rPr>
        <sz val="11"/>
        <color theme="1"/>
        <rFont val="Segoe UI"/>
        <family val="2"/>
      </rPr>
      <t xml:space="preserve"> You can</t>
    </r>
  </si>
  <si>
    <t>/10</t>
  </si>
  <si>
    <t>National Healthcare Comparison Tool</t>
  </si>
  <si>
    <t>Muburg</t>
  </si>
  <si>
    <t>Efros</t>
  </si>
  <si>
    <t>Socia</t>
  </si>
  <si>
    <t>Elsmen</t>
  </si>
  <si>
    <t>Sauolia</t>
  </si>
  <si>
    <t>Osppar</t>
  </si>
  <si>
    <t>Dovaeria</t>
  </si>
  <si>
    <t>Otiaflium</t>
  </si>
  <si>
    <t>Jaca</t>
  </si>
  <si>
    <t>Agrines</t>
  </si>
  <si>
    <t>Sodal</t>
  </si>
  <si>
    <t>Opium</t>
  </si>
  <si>
    <t>Hoanga</t>
  </si>
  <si>
    <t>Efbrye</t>
  </si>
  <si>
    <t>Puodeiton</t>
  </si>
  <si>
    <t>Iqeiskya</t>
  </si>
  <si>
    <t>Pocor</t>
  </si>
  <si>
    <t>Asnon</t>
  </si>
  <si>
    <t>Segro</t>
  </si>
  <si>
    <t>Afon</t>
  </si>
  <si>
    <t>Heiestan</t>
  </si>
  <si>
    <t>Urwhary</t>
  </si>
  <si>
    <t>Foujan</t>
  </si>
  <si>
    <t>Eprvil</t>
  </si>
  <si>
    <t>Seoceudan</t>
  </si>
  <si>
    <t>Acoaslesh</t>
  </si>
  <si>
    <t>Rana</t>
  </si>
  <si>
    <t>Obron</t>
  </si>
  <si>
    <t>Gaqua</t>
  </si>
  <si>
    <t>Neiestein</t>
  </si>
  <si>
    <t>Eqblines</t>
  </si>
  <si>
    <t>Boostan</t>
  </si>
  <si>
    <t>Ithha</t>
  </si>
  <si>
    <t>Puafoabia</t>
  </si>
  <si>
    <t>Pustein</t>
  </si>
  <si>
    <t>Esnhil</t>
  </si>
  <si>
    <t>Ecaislana</t>
  </si>
  <si>
    <t>Click INSERT NEW to insert a new national record into the database.</t>
  </si>
  <si>
    <t>Record Management</t>
  </si>
  <si>
    <r>
      <t xml:space="preserve">Or, select from the list below to </t>
    </r>
    <r>
      <rPr>
        <b/>
        <sz val="10"/>
        <color theme="1" tint="4.9989318521683403E-2"/>
        <rFont val="Segoe UI Semibold"/>
        <family val="2"/>
      </rPr>
      <t>EDIT</t>
    </r>
    <r>
      <rPr>
        <sz val="10"/>
        <color theme="1" tint="4.9989318521683403E-2"/>
        <rFont val="Segoe UI Semibold"/>
        <family val="2"/>
      </rPr>
      <t xml:space="preserve"> or </t>
    </r>
    <r>
      <rPr>
        <b/>
        <sz val="10"/>
        <color theme="1" tint="4.9989318521683403E-2"/>
        <rFont val="Segoe UI Semibold"/>
        <family val="2"/>
      </rPr>
      <t>DELETE</t>
    </r>
    <r>
      <rPr>
        <sz val="10"/>
        <color theme="1" tint="4.9989318521683403E-2"/>
        <rFont val="Segoe UI Semibold"/>
        <family val="2"/>
      </rPr>
      <t xml:space="preserve"> an entry.</t>
    </r>
  </si>
  <si>
    <t>Stansblink</t>
  </si>
  <si>
    <t>Record Max</t>
  </si>
  <si>
    <t>Jordan</t>
  </si>
  <si>
    <t>Health Level (weighted)</t>
  </si>
  <si>
    <t>Responsiveness (weighted)</t>
  </si>
  <si>
    <t>Financial Fairness (weighted)</t>
  </si>
  <si>
    <t>Health Distribution (weighted)</t>
  </si>
  <si>
    <t>Responsiveness Distribution (weighted)</t>
  </si>
  <si>
    <t>weights</t>
  </si>
  <si>
    <t>Total</t>
  </si>
  <si>
    <t>Metrics</t>
  </si>
  <si>
    <t>Final Weight</t>
  </si>
  <si>
    <t>Linked Value</t>
  </si>
  <si>
    <t>Adjusted Value</t>
  </si>
  <si>
    <t>&lt;-- Helper.HealthLevelWeight</t>
  </si>
  <si>
    <t>&lt;-- Helper.FinancialFairnessWeight</t>
  </si>
  <si>
    <t>&lt;-- Helper.HealthDistributionWeight</t>
  </si>
  <si>
    <t>&lt;-- Helper.ResponsivenessDistributionWeight</t>
  </si>
  <si>
    <t>&lt;-- Helper.ResponsivenessWeight</t>
  </si>
  <si>
    <t>Intermediate Table</t>
  </si>
  <si>
    <t>Scrollbar Value</t>
  </si>
  <si>
    <t>#</t>
  </si>
  <si>
    <t>Country</t>
  </si>
  <si>
    <t>Analysis Sort Column</t>
  </si>
  <si>
    <t>Sort Column Id</t>
  </si>
  <si>
    <t>Match Index</t>
  </si>
  <si>
    <t>BEST POSSIBLE</t>
  </si>
  <si>
    <t>Sort By</t>
  </si>
  <si>
    <t>Is Sorted On?</t>
  </si>
  <si>
    <t>Saved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</si>
</sst>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Color15][=0]\●;[Color9][=1]\●"/>
    <numFmt numFmtId="165" formatCode="0.0"/>
    <numFmt numFmtId="166" formatCode="0.0%"/>
    <numFmt numFmtId="167" formatCode="0.0000"/>
    <numFmt numFmtId="168" formatCode="0.000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sz val="12"/>
      <color theme="1"/>
      <name val="Segoe UI"/>
      <family val="2"/>
    </font>
    <font>
      <sz val="18"/>
      <color theme="4" tint="-0.499984740745262"/>
      <name val="Segoe UI"/>
      <family val="2"/>
    </font>
    <font>
      <u/>
      <sz val="72"/>
      <color theme="1"/>
      <name val="Segoe UI"/>
      <family val="2"/>
    </font>
    <font>
      <sz val="22"/>
      <color theme="4" tint="-0.499984740745262"/>
      <name val="Segoe UI Light"/>
      <family val="2"/>
    </font>
    <font>
      <sz val="10"/>
      <color theme="0" tint="-0.499984740745262"/>
      <name val="Segoe UI"/>
      <family val="2"/>
    </font>
    <font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24"/>
      <color theme="1"/>
      <name val="Segoe UI Light"/>
      <family val="2"/>
    </font>
    <font>
      <sz val="9"/>
      <color theme="1"/>
      <name val="Segoe UI"/>
      <family val="2"/>
    </font>
    <font>
      <sz val="9"/>
      <color theme="1" tint="4.9989318521683403E-2"/>
      <name val="Segoe UI Semibold"/>
      <family val="2"/>
    </font>
    <font>
      <sz val="10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" tint="4.9989318521683403E-2"/>
      <name val="Segoe UI Semibold"/>
      <family val="2"/>
    </font>
    <font>
      <b/>
      <sz val="10"/>
      <color theme="1" tint="4.9989318521683403E-2"/>
      <name val="Segoe UI Semibold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Segoe UI Semibold"/>
      <family val="2"/>
    </font>
    <font>
      <sz val="22"/>
      <color theme="1"/>
      <name val="Segoe UI Semibold"/>
      <family val="2"/>
    </font>
    <font>
      <sz val="14"/>
      <color theme="1"/>
      <name val="Segoe UI Light"/>
      <family val="2"/>
    </font>
    <font>
      <sz val="8"/>
      <color theme="0" tint="-0.499984740745262"/>
      <name val="Segoe UI"/>
      <family val="2"/>
    </font>
    <font>
      <sz val="10"/>
      <color rgb="FF08519C"/>
      <name val="Playbill"/>
      <family val="5"/>
    </font>
    <font>
      <sz val="10"/>
      <color rgb="FF3182BD"/>
      <name val="Playbill"/>
      <family val="5"/>
    </font>
    <font>
      <sz val="10"/>
      <color rgb="FF6BAED6"/>
      <name val="Playbill"/>
      <family val="5"/>
    </font>
    <font>
      <sz val="10"/>
      <color rgb="FF9ECAE1"/>
      <name val="Playbill"/>
      <family val="5"/>
    </font>
    <font>
      <sz val="10"/>
      <color rgb="FFC6DBEF"/>
      <name val="Playbill"/>
      <family val="5"/>
    </font>
    <font>
      <sz val="10"/>
      <color theme="4" tint="-0.499984740745262"/>
      <name val="Playbill"/>
      <family val="5"/>
    </font>
    <font>
      <sz val="22"/>
      <name val="Segoe UI Semibold"/>
      <family val="2"/>
    </font>
    <font>
      <sz val="10"/>
      <color theme="3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36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EFF3FF"/>
      </left>
      <right style="thin">
        <color rgb="FFEFF3FF"/>
      </right>
      <top style="thin">
        <color rgb="FFEFF3FF"/>
      </top>
      <bottom/>
      <diagonal/>
    </border>
    <border>
      <left style="thin">
        <color rgb="FFEFF3FF"/>
      </left>
      <right style="thin">
        <color rgb="FFEFF3FF"/>
      </right>
      <top/>
      <bottom/>
      <diagonal/>
    </border>
    <border>
      <left style="thin">
        <color rgb="FFEFF3FF"/>
      </left>
      <right style="thin">
        <color rgb="FFEFF3FF"/>
      </right>
      <top/>
      <bottom style="thin">
        <color rgb="FFEFF3FF"/>
      </bottom>
      <diagonal/>
    </border>
    <border>
      <left/>
      <right/>
      <top style="thin">
        <color rgb="FFEFF3FF"/>
      </top>
      <bottom/>
      <diagonal/>
    </border>
    <border>
      <left/>
      <right style="thin">
        <color rgb="FFEFF3FF"/>
      </right>
      <top style="thin">
        <color rgb="FFEFF3FF"/>
      </top>
      <bottom/>
      <diagonal/>
    </border>
    <border>
      <left/>
      <right/>
      <top style="thin">
        <color rgb="FFEFF3FF"/>
      </top>
      <bottom style="thin">
        <color rgb="FFEFF3FF"/>
      </bottom>
      <diagonal/>
    </border>
    <border>
      <left style="thin">
        <color rgb="FFF7F7F7"/>
      </left>
      <right style="thin">
        <color rgb="FFF7F7F7"/>
      </right>
      <top style="thin">
        <color rgb="FFF7F7F7"/>
      </top>
      <bottom style="thin">
        <color rgb="FFF7F7F7"/>
      </bottom>
      <diagonal/>
    </border>
    <border>
      <left style="thin">
        <color rgb="FFF7F7F7"/>
      </left>
      <right/>
      <top style="thin">
        <color rgb="FFF7F7F7"/>
      </top>
      <bottom style="thin">
        <color rgb="FFF7F7F7"/>
      </bottom>
      <diagonal/>
    </border>
    <border>
      <left style="thin">
        <color rgb="FFEFF3FF"/>
      </left>
      <right style="thin">
        <color rgb="FFF7F7F7"/>
      </right>
      <top style="thin">
        <color rgb="FFF7F7F7"/>
      </top>
      <bottom style="thin">
        <color rgb="FFF7F7F7"/>
      </bottom>
      <diagonal/>
    </border>
    <border>
      <left/>
      <right style="thin">
        <color rgb="FFF7F7F7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rgb="FFEFF3FF"/>
      </bottom>
      <diagonal/>
    </border>
    <border>
      <left/>
      <right style="thin">
        <color rgb="FFEFF3FF"/>
      </right>
      <top/>
      <bottom/>
      <diagonal/>
    </border>
    <border>
      <left/>
      <right style="thin">
        <color rgb="FFEFF3FF"/>
      </right>
      <top/>
      <bottom style="thin">
        <color rgb="FFEFF3FF"/>
      </bottom>
      <diagonal/>
    </border>
    <border>
      <left style="thin">
        <color rgb="FFEFF3FF"/>
      </left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45">
    <xf numFmtId="0" fontId="0" fillId="0" borderId="0" xfId="0"/>
    <xf numFmtId="0" fontId="3" fillId="3" borderId="0" xfId="0" applyFont="1" applyFill="1"/>
    <xf numFmtId="0" fontId="2" fillId="3" borderId="0" xfId="0" applyFont="1" applyFill="1"/>
    <xf numFmtId="0" fontId="2" fillId="3" borderId="5" xfId="0" applyFont="1" applyFill="1" applyBorder="1"/>
    <xf numFmtId="0" fontId="2" fillId="2" borderId="4" xfId="0" applyFont="1" applyFill="1" applyBorder="1"/>
    <xf numFmtId="0" fontId="2" fillId="2" borderId="0" xfId="0" applyFont="1" applyFill="1"/>
    <xf numFmtId="0" fontId="2" fillId="0" borderId="0" xfId="0" applyFont="1"/>
    <xf numFmtId="164" fontId="1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horizontal="right"/>
    </xf>
    <xf numFmtId="0" fontId="7" fillId="3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Border="1"/>
    <xf numFmtId="0" fontId="9" fillId="0" borderId="0" xfId="0" applyFont="1"/>
    <xf numFmtId="0" fontId="9" fillId="0" borderId="0" xfId="0" quotePrefix="1" applyFont="1"/>
    <xf numFmtId="0" fontId="2" fillId="2" borderId="0" xfId="0" applyFont="1" applyFill="1" applyBorder="1"/>
    <xf numFmtId="0" fontId="2" fillId="2" borderId="0" xfId="0" applyFont="1" applyFill="1" applyBorder="1" applyAlignment="1"/>
    <xf numFmtId="0" fontId="2" fillId="2" borderId="6" xfId="0" applyFont="1" applyFill="1" applyBorder="1" applyAlignment="1"/>
    <xf numFmtId="0" fontId="2" fillId="2" borderId="0" xfId="0" quotePrefix="1" applyFont="1" applyFill="1" applyBorder="1" applyAlignment="1"/>
    <xf numFmtId="0" fontId="0" fillId="2" borderId="0" xfId="0" applyFill="1"/>
    <xf numFmtId="0" fontId="9" fillId="2" borderId="0" xfId="0" applyFont="1" applyFill="1"/>
    <xf numFmtId="0" fontId="9" fillId="2" borderId="7" xfId="0" applyFont="1" applyFill="1" applyBorder="1"/>
    <xf numFmtId="0" fontId="0" fillId="2" borderId="7" xfId="0" applyFill="1" applyBorder="1"/>
    <xf numFmtId="0" fontId="11" fillId="0" borderId="7" xfId="0" applyFont="1" applyFill="1" applyBorder="1" applyAlignment="1">
      <alignment horizontal="center" wrapText="1"/>
    </xf>
    <xf numFmtId="0" fontId="10" fillId="2" borderId="2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0" xfId="0" applyFill="1" applyBorder="1"/>
    <xf numFmtId="0" fontId="14" fillId="2" borderId="0" xfId="0" applyFont="1" applyFill="1" applyBorder="1" applyAlignment="1"/>
    <xf numFmtId="0" fontId="0" fillId="0" borderId="0" xfId="0" applyBorder="1"/>
    <xf numFmtId="0" fontId="15" fillId="2" borderId="0" xfId="0" applyFont="1" applyFill="1" applyBorder="1"/>
    <xf numFmtId="0" fontId="16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8" fillId="2" borderId="0" xfId="0" applyFont="1" applyFill="1" applyBorder="1" applyAlignment="1">
      <alignment vertical="top" wrapText="1"/>
    </xf>
    <xf numFmtId="0" fontId="10" fillId="0" borderId="6" xfId="0" applyFont="1" applyFill="1" applyBorder="1" applyAlignment="1">
      <alignment horizontal="center" wrapText="1"/>
    </xf>
    <xf numFmtId="0" fontId="10" fillId="0" borderId="15" xfId="0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10" fontId="0" fillId="0" borderId="7" xfId="0" applyNumberFormat="1" applyFill="1" applyBorder="1"/>
    <xf numFmtId="10" fontId="0" fillId="0" borderId="7" xfId="0" applyNumberFormat="1" applyBorder="1"/>
    <xf numFmtId="165" fontId="0" fillId="0" borderId="0" xfId="0" applyNumberFormat="1"/>
    <xf numFmtId="0" fontId="9" fillId="2" borderId="12" xfId="0" applyFont="1" applyFill="1" applyBorder="1"/>
    <xf numFmtId="0" fontId="21" fillId="2" borderId="0" xfId="0" applyFont="1" applyFill="1" applyBorder="1" applyAlignment="1">
      <alignment horizontal="left" wrapText="1"/>
    </xf>
    <xf numFmtId="0" fontId="21" fillId="2" borderId="12" xfId="0" applyFont="1" applyFill="1" applyBorder="1" applyAlignment="1">
      <alignment horizontal="left" wrapText="1"/>
    </xf>
    <xf numFmtId="0" fontId="0" fillId="2" borderId="12" xfId="0" applyFill="1" applyBorder="1"/>
    <xf numFmtId="9" fontId="0" fillId="2" borderId="0" xfId="0" applyNumberFormat="1" applyFill="1"/>
    <xf numFmtId="166" fontId="0" fillId="2" borderId="0" xfId="1" applyNumberFormat="1" applyFont="1" applyFill="1"/>
    <xf numFmtId="166" fontId="0" fillId="2" borderId="12" xfId="1" applyNumberFormat="1" applyFont="1" applyFill="1" applyBorder="1"/>
    <xf numFmtId="0" fontId="0" fillId="0" borderId="12" xfId="0" applyBorder="1"/>
    <xf numFmtId="167" fontId="0" fillId="0" borderId="0" xfId="0" applyNumberFormat="1"/>
    <xf numFmtId="168" fontId="0" fillId="0" borderId="0" xfId="0" applyNumberFormat="1"/>
    <xf numFmtId="166" fontId="22" fillId="0" borderId="0" xfId="1" applyNumberFormat="1" applyFont="1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6" fillId="0" borderId="19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8" fillId="0" borderId="19" xfId="0" applyFont="1" applyBorder="1" applyAlignment="1">
      <alignment vertical="center"/>
    </xf>
    <xf numFmtId="0" fontId="29" fillId="0" borderId="19" xfId="0" applyFont="1" applyBorder="1" applyAlignment="1">
      <alignment vertical="center"/>
    </xf>
    <xf numFmtId="0" fontId="30" fillId="0" borderId="19" xfId="0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166" fontId="22" fillId="0" borderId="12" xfId="1" applyNumberFormat="1" applyFont="1" applyBorder="1" applyAlignment="1">
      <alignment horizontal="center" vertical="center"/>
    </xf>
    <xf numFmtId="166" fontId="32" fillId="0" borderId="17" xfId="1" applyNumberFormat="1" applyFont="1" applyBorder="1" applyAlignment="1">
      <alignment horizontal="center" vertical="center"/>
    </xf>
    <xf numFmtId="166" fontId="23" fillId="0" borderId="17" xfId="1" applyNumberFormat="1" applyFont="1" applyBorder="1" applyAlignment="1">
      <alignment horizontal="center" vertical="center"/>
    </xf>
    <xf numFmtId="166" fontId="22" fillId="0" borderId="22" xfId="1" applyNumberFormat="1" applyFont="1" applyBorder="1" applyAlignment="1">
      <alignment horizontal="center" vertical="center"/>
    </xf>
    <xf numFmtId="0" fontId="30" fillId="0" borderId="23" xfId="0" applyFont="1" applyBorder="1" applyAlignment="1">
      <alignment vertical="center"/>
    </xf>
    <xf numFmtId="0" fontId="31" fillId="0" borderId="24" xfId="0" applyFont="1" applyBorder="1" applyAlignment="1">
      <alignment vertical="center"/>
    </xf>
    <xf numFmtId="0" fontId="26" fillId="0" borderId="25" xfId="0" applyFont="1" applyBorder="1" applyAlignment="1">
      <alignment vertical="center"/>
    </xf>
    <xf numFmtId="0" fontId="33" fillId="2" borderId="0" xfId="0" applyFont="1" applyFill="1" applyBorder="1" applyAlignment="1">
      <alignment horizontal="center" wrapText="1"/>
    </xf>
    <xf numFmtId="0" fontId="33" fillId="0" borderId="0" xfId="0" applyFont="1" applyAlignment="1"/>
    <xf numFmtId="0" fontId="2" fillId="0" borderId="30" xfId="0" applyFont="1" applyBorder="1"/>
    <xf numFmtId="0" fontId="14" fillId="0" borderId="20" xfId="0" applyFont="1" applyBorder="1" applyAlignment="1">
      <alignment vertical="center" wrapText="1"/>
    </xf>
    <xf numFmtId="1" fontId="25" fillId="0" borderId="21" xfId="0" applyNumberFormat="1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26" fillId="0" borderId="18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27" fillId="0" borderId="18" xfId="0" applyFont="1" applyBorder="1" applyAlignment="1">
      <alignment vertical="center" wrapText="1"/>
    </xf>
    <xf numFmtId="0" fontId="28" fillId="0" borderId="18" xfId="0" applyFont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30" fillId="0" borderId="18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1" fontId="25" fillId="0" borderId="0" xfId="0" applyNumberFormat="1" applyFont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27" fillId="0" borderId="19" xfId="0" applyFont="1" applyBorder="1" applyAlignment="1">
      <alignment vertical="center" wrapText="1"/>
    </xf>
    <xf numFmtId="0" fontId="28" fillId="0" borderId="19" xfId="0" applyFont="1" applyBorder="1" applyAlignment="1">
      <alignment vertical="center" wrapText="1"/>
    </xf>
    <xf numFmtId="0" fontId="29" fillId="0" borderId="19" xfId="0" applyFont="1" applyBorder="1" applyAlignment="1">
      <alignment vertical="center" wrapText="1"/>
    </xf>
    <xf numFmtId="0" fontId="31" fillId="0" borderId="0" xfId="0" applyFont="1" applyBorder="1" applyAlignment="1">
      <alignment vertical="center" wrapText="1"/>
    </xf>
    <xf numFmtId="0" fontId="26" fillId="0" borderId="34" xfId="0" applyFont="1" applyBorder="1" applyAlignment="1">
      <alignment vertical="center" wrapText="1"/>
    </xf>
    <xf numFmtId="0" fontId="30" fillId="0" borderId="0" xfId="0" applyFont="1" applyBorder="1" applyAlignment="1">
      <alignment vertical="center" wrapText="1"/>
    </xf>
    <xf numFmtId="0" fontId="2" fillId="0" borderId="28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24" fillId="0" borderId="0" xfId="0" applyFont="1" applyProtection="1">
      <protection locked="0"/>
    </xf>
    <xf numFmtId="0" fontId="0" fillId="0" borderId="16" xfId="0" applyBorder="1" applyProtection="1">
      <protection locked="0"/>
    </xf>
    <xf numFmtId="0" fontId="0" fillId="0" borderId="7" xfId="0" applyBorder="1" applyAlignment="1" applyProtection="1">
      <protection locked="0"/>
    </xf>
    <xf numFmtId="0" fontId="10" fillId="0" borderId="0" xfId="0" applyFont="1" applyProtection="1">
      <protection locked="0"/>
    </xf>
    <xf numFmtId="167" fontId="10" fillId="0" borderId="0" xfId="0" applyNumberFormat="1" applyFont="1" applyProtection="1">
      <protection locked="0"/>
    </xf>
    <xf numFmtId="1" fontId="10" fillId="0" borderId="0" xfId="0" applyNumberFormat="1" applyFont="1" applyAlignment="1" applyProtection="1">
      <alignment horizontal="right"/>
      <protection locked="0"/>
    </xf>
    <xf numFmtId="1" fontId="10" fillId="0" borderId="0" xfId="0" applyNumberFormat="1" applyFont="1" applyProtection="1">
      <protection locked="0"/>
    </xf>
    <xf numFmtId="2" fontId="10" fillId="0" borderId="0" xfId="0" applyNumberFormat="1" applyFont="1" applyProtection="1">
      <protection locked="0"/>
    </xf>
    <xf numFmtId="0" fontId="11" fillId="0" borderId="35" xfId="0" applyFont="1" applyBorder="1" applyAlignment="1" applyProtection="1">
      <alignment horizontal="right"/>
      <protection locked="0"/>
    </xf>
    <xf numFmtId="0" fontId="11" fillId="0" borderId="35" xfId="0" applyFont="1" applyBorder="1" applyAlignment="1" applyProtection="1">
      <alignment horizontal="right" wrapText="1"/>
      <protection locked="0"/>
    </xf>
    <xf numFmtId="0" fontId="11" fillId="0" borderId="35" xfId="0" applyFont="1" applyBorder="1" applyProtection="1">
      <protection locked="0"/>
    </xf>
    <xf numFmtId="0" fontId="10" fillId="0" borderId="35" xfId="0" applyFont="1" applyBorder="1" applyProtection="1">
      <protection locked="0"/>
    </xf>
    <xf numFmtId="167" fontId="10" fillId="0" borderId="35" xfId="0" applyNumberFormat="1" applyFont="1" applyBorder="1" applyProtection="1">
      <protection locked="0"/>
    </xf>
    <xf numFmtId="1" fontId="10" fillId="0" borderId="35" xfId="0" applyNumberFormat="1" applyFont="1" applyBorder="1" applyAlignment="1" applyProtection="1">
      <alignment horizontal="right"/>
      <protection locked="0"/>
    </xf>
    <xf numFmtId="1" fontId="10" fillId="0" borderId="35" xfId="0" applyNumberFormat="1" applyFont="1" applyBorder="1" applyProtection="1">
      <protection locked="0"/>
    </xf>
    <xf numFmtId="2" fontId="10" fillId="0" borderId="35" xfId="0" applyNumberFormat="1" applyFont="1" applyBorder="1" applyProtection="1">
      <protection locked="0"/>
    </xf>
    <xf numFmtId="0" fontId="9" fillId="0" borderId="0" xfId="0" applyFont="1" applyProtection="1">
      <protection locked="0"/>
    </xf>
    <xf numFmtId="0" fontId="0" fillId="0" borderId="27" xfId="0" applyBorder="1" applyAlignment="1" applyProtection="1">
      <alignment horizontal="center"/>
      <protection locked="0"/>
    </xf>
    <xf numFmtId="0" fontId="11" fillId="0" borderId="27" xfId="0" applyFont="1" applyBorder="1" applyAlignment="1" applyProtection="1">
      <alignment horizontal="right" wrapText="1"/>
      <protection locked="0"/>
    </xf>
    <xf numFmtId="0" fontId="10" fillId="0" borderId="27" xfId="0" applyFont="1" applyBorder="1" applyProtection="1">
      <protection locked="0"/>
    </xf>
    <xf numFmtId="0" fontId="11" fillId="0" borderId="27" xfId="0" applyFont="1" applyBorder="1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2" borderId="0" xfId="0" applyFill="1" applyBorder="1" applyAlignment="1">
      <alignment horizontal="center" wrapText="1"/>
    </xf>
    <xf numFmtId="0" fontId="17" fillId="2" borderId="0" xfId="0" applyFont="1" applyFill="1" applyBorder="1" applyAlignment="1">
      <alignment horizontal="left" wrapText="1"/>
    </xf>
    <xf numFmtId="0" fontId="13" fillId="2" borderId="0" xfId="0" applyFont="1" applyFill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8" fillId="2" borderId="14" xfId="0" applyFont="1" applyFill="1" applyBorder="1" applyAlignment="1">
      <alignment horizontal="left" vertical="top" wrapText="1"/>
    </xf>
    <xf numFmtId="0" fontId="6" fillId="3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0" xfId="0" applyFont="1" applyFill="1" applyAlignment="1">
      <alignment horizontal="left" wrapText="1"/>
    </xf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25" fillId="0" borderId="0" xfId="0" applyNumberFormat="1" applyFont="1" applyAlignment="1">
      <alignment horizontal="right"/>
    </xf>
    <xf numFmtId="1" fontId="25" fillId="0" borderId="26" xfId="0" applyNumberFormat="1" applyFont="1" applyBorder="1" applyAlignment="1">
      <alignment horizontal="right"/>
    </xf>
    <xf numFmtId="0" fontId="2" fillId="3" borderId="28" xfId="0" applyFont="1" applyFill="1" applyBorder="1" applyAlignment="1" applyProtection="1">
      <alignment horizontal="center" vertical="center"/>
      <protection locked="0"/>
    </xf>
    <xf numFmtId="0" fontId="2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33" fillId="0" borderId="32" xfId="0" applyFont="1" applyBorder="1" applyAlignment="1">
      <alignment horizontal="left"/>
    </xf>
    <xf numFmtId="0" fontId="33" fillId="0" borderId="33" xfId="0" applyFont="1" applyBorder="1" applyAlignment="1">
      <alignment horizontal="left"/>
    </xf>
    <xf numFmtId="0" fontId="33" fillId="0" borderId="0" xfId="0" applyFont="1" applyBorder="1" applyAlignment="1">
      <alignment horizontal="left" wrapText="1"/>
    </xf>
    <xf numFmtId="0" fontId="33" fillId="0" borderId="31" xfId="0" applyFont="1" applyBorder="1" applyAlignment="1">
      <alignment horizontal="left" wrapText="1"/>
    </xf>
  </cellXfs>
  <cellStyles count="2">
    <cellStyle name="Normal" xfId="0" builtinId="0"/>
    <cellStyle name="Percent" xfId="1" builtinId="5"/>
  </cellStyles>
  <dxfs count="18">
    <dxf>
      <font>
        <b/>
        <i val="0"/>
        <color theme="1"/>
      </font>
    </dxf>
    <dxf>
      <font>
        <b/>
        <i val="0"/>
        <color theme="1"/>
      </font>
    </dxf>
    <dxf>
      <numFmt numFmtId="168" formatCode="0.000"/>
    </dxf>
    <dxf>
      <numFmt numFmtId="165" formatCode="0.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EFF3FF"/>
      <color rgb="FFF7F7F7"/>
      <color rgb="FF08519C"/>
      <color rgb="FF9ECAE1"/>
      <color rgb="FF6BAED6"/>
      <color rgb="FF3182BD"/>
      <color rgb="FFC6DBEF"/>
      <color rgb="FFEFDBC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2" fmlaLink="Database.CurrentIndex" fmlaRange="Database.CountryNameList" noThreeD="1" sel="5" val="0"/>
</file>

<file path=xl/ctrlProps/ctrlProp2.xml><?xml version="1.0" encoding="utf-8"?>
<formControlPr xmlns="http://schemas.microsoft.com/office/spreadsheetml/2009/9/main" objectType="Scroll" dx="22" fmlaLink="Helper!$B$5" max="100" page="10" val="20"/>
</file>

<file path=xl/ctrlProps/ctrlProp3.xml><?xml version="1.0" encoding="utf-8"?>
<formControlPr xmlns="http://schemas.microsoft.com/office/spreadsheetml/2009/9/main" objectType="Scroll" dx="22" fmlaLink="Helper!$B$6" max="100" page="10" val="60"/>
</file>

<file path=xl/ctrlProps/ctrlProp4.xml><?xml version="1.0" encoding="utf-8"?>
<formControlPr xmlns="http://schemas.microsoft.com/office/spreadsheetml/2009/9/main" objectType="Scroll" dx="22" fmlaLink="Helper!$B$7" max="100" page="10" val="20"/>
</file>

<file path=xl/ctrlProps/ctrlProp5.xml><?xml version="1.0" encoding="utf-8"?>
<formControlPr xmlns="http://schemas.microsoft.com/office/spreadsheetml/2009/9/main" objectType="Scroll" dx="22" fmlaLink="Helper!$B$8" max="100" page="10" val="20"/>
</file>

<file path=xl/ctrlProps/ctrlProp6.xml><?xml version="1.0" encoding="utf-8"?>
<formControlPr xmlns="http://schemas.microsoft.com/office/spreadsheetml/2009/9/main" objectType="Scroll" dx="22" fmlaLink="Helper!$B$9" max="100" page="10" val="60"/>
</file>

<file path=xl/ctrlProps/ctrlProp7.xml><?xml version="1.0" encoding="utf-8"?>
<formControlPr xmlns="http://schemas.microsoft.com/office/spreadsheetml/2009/9/main" objectType="Scroll" dx="22" fmlaLink="$D$31" max="100" min="1" page="10" val="19"/>
</file>

<file path=xl/ctrlProps/ctrlProp8.xml><?xml version="1.0" encoding="utf-8"?>
<formControlPr xmlns="http://schemas.microsoft.com/office/spreadsheetml/2009/9/main" objectType="Scroll" dx="22" fmlaLink="$B$5" max="100" page="10" val="20"/>
</file>

<file path=xl/ctrlProps/ctrlProp9.xml><?xml version="1.0" encoding="utf-8"?>
<formControlPr xmlns="http://schemas.microsoft.com/office/spreadsheetml/2009/9/main" objectType="Scroll" dx="22" fmlaLink="$B$6" max="100" page="10" val="60"/>
</file>

<file path=xl/ctrlProps/ctrlProp10.xml><?xml version="1.0" encoding="utf-8"?>
<formControlPr xmlns="http://schemas.microsoft.com/office/spreadsheetml/2009/9/main" objectType="Scroll" dx="22" fmlaLink="$B$7" max="100" page="10" val="20"/>
</file>

<file path=xl/ctrlProps/ctrlProp11.xml><?xml version="1.0" encoding="utf-8"?>
<formControlPr xmlns="http://schemas.microsoft.com/office/spreadsheetml/2009/9/main" objectType="Scroll" dx="22" fmlaLink="$B$8" max="100" page="10" val="20"/>
</file>

<file path=xl/ctrlProps/ctrlProp12.xml><?xml version="1.0" encoding="utf-8"?>
<formControlPr xmlns="http://schemas.microsoft.com/office/spreadsheetml/2009/9/main" objectType="Scroll" dx="22" fmlaLink="$B$9" max="100" page="10" val="6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38100</xdr:rowOff>
    </xdr:from>
    <xdr:to>
      <xdr:col>1</xdr:col>
      <xdr:colOff>1085850</xdr:colOff>
      <xdr:row>8</xdr:row>
      <xdr:rowOff>0</xdr:rowOff>
    </xdr:to>
    <xdr:sp macro="[0]!Wizard.InsertNewRecord" textlink="">
      <xdr:nvSpPr>
        <xdr:cNvPr id="2" name="Rectangle 1"/>
        <xdr:cNvSpPr/>
      </xdr:nvSpPr>
      <xdr:spPr>
        <a:xfrm>
          <a:off x="266700" y="161925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INSERT</a:t>
          </a:r>
          <a:r>
            <a:rPr lang="en-US" sz="1100" b="1" baseline="0">
              <a:solidFill>
                <a:sysClr val="windowText" lastClr="000000"/>
              </a:solidFill>
            </a:rPr>
            <a:t>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19</xdr:row>
      <xdr:rowOff>95250</xdr:rowOff>
    </xdr:from>
    <xdr:to>
      <xdr:col>2</xdr:col>
      <xdr:colOff>0</xdr:colOff>
      <xdr:row>21</xdr:row>
      <xdr:rowOff>57150</xdr:rowOff>
    </xdr:to>
    <xdr:sp macro="[0]!Wizard.EditSelectedRecord" textlink="">
      <xdr:nvSpPr>
        <xdr:cNvPr id="5" name="Rectangle 4"/>
        <xdr:cNvSpPr/>
      </xdr:nvSpPr>
      <xdr:spPr>
        <a:xfrm>
          <a:off x="285750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EDIT</a:t>
          </a:r>
          <a:endParaRPr lang="en-U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228600</xdr:colOff>
      <xdr:row>19</xdr:row>
      <xdr:rowOff>95250</xdr:rowOff>
    </xdr:from>
    <xdr:to>
      <xdr:col>3</xdr:col>
      <xdr:colOff>685800</xdr:colOff>
      <xdr:row>21</xdr:row>
      <xdr:rowOff>57150</xdr:rowOff>
    </xdr:to>
    <xdr:sp macro="[0]!Wizard.DeleteSelectedRecord" textlink="">
      <xdr:nvSpPr>
        <xdr:cNvPr id="6" name="Rectangle 5"/>
        <xdr:cNvSpPr/>
      </xdr:nvSpPr>
      <xdr:spPr>
        <a:xfrm>
          <a:off x="1590675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DELETE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1400175</xdr:colOff>
      <xdr:row>10</xdr:row>
      <xdr:rowOff>0</xdr:rowOff>
    </xdr:from>
    <xdr:to>
      <xdr:col>1</xdr:col>
      <xdr:colOff>2012157</xdr:colOff>
      <xdr:row>11</xdr:row>
      <xdr:rowOff>0</xdr:rowOff>
    </xdr:to>
    <xdr:sp macro="[0]!Wizard.GoNext" textlink="">
      <xdr:nvSpPr>
        <xdr:cNvPr id="2" name="Rectangle 1"/>
        <xdr:cNvSpPr/>
      </xdr:nvSpPr>
      <xdr:spPr>
        <a:xfrm>
          <a:off x="16573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Next &gt;</a:t>
          </a:r>
        </a:p>
      </xdr:txBody>
    </xdr:sp>
    <xdr:clientData/>
  </xdr:twoCellAnchor>
  <xdr:twoCellAnchor editAs="absolute">
    <xdr:from>
      <xdr:col>1</xdr:col>
      <xdr:colOff>714375</xdr:colOff>
      <xdr:row>10</xdr:row>
      <xdr:rowOff>0</xdr:rowOff>
    </xdr:from>
    <xdr:to>
      <xdr:col>1</xdr:col>
      <xdr:colOff>1323975</xdr:colOff>
      <xdr:row>11</xdr:row>
      <xdr:rowOff>0</xdr:rowOff>
    </xdr:to>
    <xdr:sp macro="[0]!Wizard.GoPrevious" textlink="">
      <xdr:nvSpPr>
        <xdr:cNvPr id="3" name="Rectangle 2"/>
        <xdr:cNvSpPr/>
      </xdr:nvSpPr>
      <xdr:spPr>
        <a:xfrm>
          <a:off x="9715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&lt;</a:t>
          </a:r>
          <a:r>
            <a:rPr lang="en-US" sz="1000" b="1" baseline="0">
              <a:solidFill>
                <a:schemeClr val="tx1"/>
              </a:solidFill>
            </a:rPr>
            <a:t> </a:t>
          </a:r>
          <a:r>
            <a:rPr lang="en-US" sz="1000" b="1">
              <a:solidFill>
                <a:schemeClr val="tx1"/>
              </a:solidFill>
            </a:rPr>
            <a:t>Back</a:t>
          </a:r>
        </a:p>
      </xdr:txBody>
    </xdr:sp>
    <xdr:clientData/>
  </xdr:twoCellAnchor>
  <xdr:twoCellAnchor>
    <xdr:from>
      <xdr:col>18</xdr:col>
      <xdr:colOff>0</xdr:colOff>
      <xdr:row>5</xdr:row>
      <xdr:rowOff>76200</xdr:rowOff>
    </xdr:from>
    <xdr:to>
      <xdr:col>22</xdr:col>
      <xdr:colOff>0</xdr:colOff>
      <xdr:row>6</xdr:row>
      <xdr:rowOff>180975</xdr:rowOff>
    </xdr:to>
    <xdr:sp macro="[0]!Wizard.SaveAndStartNew" textlink="">
      <xdr:nvSpPr>
        <xdr:cNvPr id="6" name="Rounded Rectangle 5"/>
        <xdr:cNvSpPr/>
      </xdr:nvSpPr>
      <xdr:spPr>
        <a:xfrm>
          <a:off x="3686175" y="1238250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START NEW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7</xdr:row>
      <xdr:rowOff>104775</xdr:rowOff>
    </xdr:from>
    <xdr:to>
      <xdr:col>22</xdr:col>
      <xdr:colOff>0</xdr:colOff>
      <xdr:row>8</xdr:row>
      <xdr:rowOff>200025</xdr:rowOff>
    </xdr:to>
    <xdr:sp macro="[0]!Wizard.SaveAndGoBackToMenu" textlink="">
      <xdr:nvSpPr>
        <xdr:cNvPr id="7" name="Rounded Rectangle 6"/>
        <xdr:cNvSpPr/>
      </xdr:nvSpPr>
      <xdr:spPr>
        <a:xfrm>
          <a:off x="3686175" y="16859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GO BACK TO MENU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9</xdr:row>
      <xdr:rowOff>123825</xdr:rowOff>
    </xdr:from>
    <xdr:to>
      <xdr:col>22</xdr:col>
      <xdr:colOff>0</xdr:colOff>
      <xdr:row>11</xdr:row>
      <xdr:rowOff>0</xdr:rowOff>
    </xdr:to>
    <xdr:sp macro="[0]!Wizard.GoToMenu" textlink="">
      <xdr:nvSpPr>
        <xdr:cNvPr id="8" name="Rounded Rectangle 7"/>
        <xdr:cNvSpPr/>
      </xdr:nvSpPr>
      <xdr:spPr>
        <a:xfrm>
          <a:off x="3686175" y="21431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CANCEL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8194" name="Scroll Ba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6" name="Scroll Ba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7" name="Scroll Ba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590550</xdr:rowOff>
        </xdr:from>
        <xdr:to>
          <xdr:col>0</xdr:col>
          <xdr:colOff>228600</xdr:colOff>
          <xdr:row>25</xdr:row>
          <xdr:rowOff>57150</xdr:rowOff>
        </xdr:to>
        <xdr:sp macro="" textlink="">
          <xdr:nvSpPr>
            <xdr:cNvPr id="8199" name="Analysis.ScrollBar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0</xdr:col>
      <xdr:colOff>238125</xdr:colOff>
      <xdr:row>3</xdr:row>
      <xdr:rowOff>0</xdr:rowOff>
    </xdr:from>
    <xdr:to>
      <xdr:col>3</xdr:col>
      <xdr:colOff>228600</xdr:colOff>
      <xdr:row>3</xdr:row>
      <xdr:rowOff>247650</xdr:rowOff>
    </xdr:to>
    <xdr:sp macro="[0]!Analysis.ResetWeights" textlink="">
      <xdr:nvSpPr>
        <xdr:cNvPr id="2" name="Rounded Rectangle 1"/>
        <xdr:cNvSpPr/>
      </xdr:nvSpPr>
      <xdr:spPr>
        <a:xfrm>
          <a:off x="238125" y="819150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RESET WEIGHTS</a:t>
          </a:r>
        </a:p>
      </xdr:txBody>
    </xdr:sp>
    <xdr:clientData/>
  </xdr:twoCellAnchor>
  <xdr:twoCellAnchor>
    <xdr:from>
      <xdr:col>0</xdr:col>
      <xdr:colOff>142875</xdr:colOff>
      <xdr:row>0</xdr:row>
      <xdr:rowOff>104775</xdr:rowOff>
    </xdr:from>
    <xdr:to>
      <xdr:col>3</xdr:col>
      <xdr:colOff>819150</xdr:colOff>
      <xdr:row>2</xdr:row>
      <xdr:rowOff>342900</xdr:rowOff>
    </xdr:to>
    <xdr:sp macro="" textlink="">
      <xdr:nvSpPr>
        <xdr:cNvPr id="3" name="TextBox 2"/>
        <xdr:cNvSpPr txBox="1"/>
      </xdr:nvSpPr>
      <xdr:spPr>
        <a:xfrm>
          <a:off x="142875" y="104775"/>
          <a:ext cx="2362200" cy="638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Segoe UI Light" panose="020B0502040204020203" pitchFamily="34" charset="0"/>
              <a:cs typeface="Segoe UI Light" panose="020B0502040204020203" pitchFamily="34" charset="0"/>
            </a:rPr>
            <a:t>Analysis</a:t>
          </a:r>
          <a:r>
            <a:rPr lang="en-US" sz="1600" baseline="0">
              <a:latin typeface="Segoe UI Light" panose="020B0502040204020203" pitchFamily="34" charset="0"/>
              <a:cs typeface="Segoe UI Light" panose="020B0502040204020203" pitchFamily="34" charset="0"/>
            </a:rPr>
            <a:t> of Alternatives of Healthcare Systems </a:t>
          </a:r>
          <a:endParaRPr lang="en-US" sz="16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10</xdr:col>
      <xdr:colOff>723900</xdr:colOff>
      <xdr:row>0</xdr:row>
      <xdr:rowOff>66675</xdr:rowOff>
    </xdr:from>
    <xdr:to>
      <xdr:col>13</xdr:col>
      <xdr:colOff>142875</xdr:colOff>
      <xdr:row>1</xdr:row>
      <xdr:rowOff>123825</xdr:rowOff>
    </xdr:to>
    <xdr:sp macro="[0]!Analysis.BackToMenu" textlink="">
      <xdr:nvSpPr>
        <xdr:cNvPr id="10" name="Rounded Rectangle 9"/>
        <xdr:cNvSpPr/>
      </xdr:nvSpPr>
      <xdr:spPr>
        <a:xfrm>
          <a:off x="7048500" y="66675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BACK</a:t>
          </a:r>
          <a:r>
            <a:rPr lang="en-US" sz="1050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TO MENU</a:t>
          </a:r>
          <a:endParaRPr lang="en-US" sz="105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10</xdr:row>
          <xdr:rowOff>85725</xdr:rowOff>
        </xdr:from>
        <xdr:to>
          <xdr:col>0</xdr:col>
          <xdr:colOff>723900</xdr:colOff>
          <xdr:row>16</xdr:row>
          <xdr:rowOff>123825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10</xdr:row>
          <xdr:rowOff>123825</xdr:rowOff>
        </xdr:from>
        <xdr:to>
          <xdr:col>0</xdr:col>
          <xdr:colOff>1066800</xdr:colOff>
          <xdr:row>16</xdr:row>
          <xdr:rowOff>161925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10</xdr:row>
          <xdr:rowOff>104775</xdr:rowOff>
        </xdr:from>
        <xdr:to>
          <xdr:col>1</xdr:col>
          <xdr:colOff>19050</xdr:colOff>
          <xdr:row>16</xdr:row>
          <xdr:rowOff>142875</xdr:rowOff>
        </xdr:to>
        <xdr:sp macro="" textlink="">
          <xdr:nvSpPr>
            <xdr:cNvPr id="6147" name="Scroll Bar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171450</xdr:rowOff>
        </xdr:from>
        <xdr:to>
          <xdr:col>1</xdr:col>
          <xdr:colOff>323850</xdr:colOff>
          <xdr:row>17</xdr:row>
          <xdr:rowOff>19050</xdr:rowOff>
        </xdr:to>
        <xdr:sp macro="" textlink="">
          <xdr:nvSpPr>
            <xdr:cNvPr id="6148" name="Scroll Ba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104775</xdr:rowOff>
        </xdr:from>
        <xdr:to>
          <xdr:col>1</xdr:col>
          <xdr:colOff>714375</xdr:colOff>
          <xdr:row>16</xdr:row>
          <xdr:rowOff>142875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Database" displayName="Database" ref="A8:O47" headerRowDxfId="11" headerRowBorderDxfId="10" tableBorderDxfId="9">
  <autoFilter ref="A8:O47"/>
  <sortState ref="A9:N47">
    <sortCondition ref="B8:B47"/>
  </sortState>
  <tableColumns count="15">
    <tableColumn id="1" name="Country Id"/>
    <tableColumn id="2" name="Country Name"/>
    <tableColumn id="3" name="County Comment"/>
    <tableColumn id="4" name="Health Level" totalsRowFunction="custom">
      <totalsRowFormula>RANDBETWEEN(1,10)</totalsRowFormula>
    </tableColumn>
    <tableColumn id="5" name="Responsiveness" totalsRowFunction="custom">
      <totalsRowFormula>RANDBETWEEN(1,10)</totalsRowFormula>
    </tableColumn>
    <tableColumn id="6" name="Financial Fairness" totalsRowFunction="custom">
      <totalsRowFormula>RANDBETWEEN(1,10)</totalsRowFormula>
    </tableColumn>
    <tableColumn id="7" name="Health Distribution" totalsRowFunction="custom">
      <totalsRowFormula>RANDBETWEEN(1,10)</totalsRowFormula>
    </tableColumn>
    <tableColumn id="8" name="Responsiveness Distribution" totalsRowFunction="custom">
      <totalsRowFormula>RANDBETWEEN(1,10)</totalsRowFormula>
    </tableColumn>
    <tableColumn id="9" name="Health Level (weighted)" dataDxfId="8">
      <calculatedColumnFormula>Database[[#This Row],[Health Level]]/10*Helper.HealthLevelWeight</calculatedColumnFormula>
    </tableColumn>
    <tableColumn id="10" name="Responsiveness (weighted)" dataDxfId="7">
      <calculatedColumnFormula>Database[[#This Row],[Responsiveness]]/10*Helper.ResponsivenessWeight</calculatedColumnFormula>
    </tableColumn>
    <tableColumn id="11" name="Financial Fairness (weighted)" dataDxfId="6">
      <calculatedColumnFormula>Database[[#This Row],[Financial Fairness]]/10*Helper.FinancialFairnessWeight</calculatedColumnFormula>
    </tableColumn>
    <tableColumn id="12" name="Health Distribution (weighted)" dataDxfId="5">
      <calculatedColumnFormula>Database[[#This Row],[Health Distribution]]/10*Helper.HealthDistributionWeight</calculatedColumnFormula>
    </tableColumn>
    <tableColumn id="13" name="Responsiveness Distribution (weighted)" dataDxfId="4">
      <calculatedColumnFormula>Database[[#This Row],[Responsiveness Distribution]]/10*Helper.ResponsivenessDistributionWeight</calculatedColumnFormula>
    </tableColumn>
    <tableColumn id="14" name="Total" dataDxfId="3">
      <calculatedColumnFormula>SUM(Database[[#This Row],[Health Level (weighted)]:[Responsiveness Distribution (weighted)]])*100</calculatedColumnFormula>
    </tableColumn>
    <tableColumn id="16" name="Analysis Sort Column" dataDxfId="2">
      <calculatedColumnFormula>INDEX(Database[[#This Row],[Health Level (weighted)]:[Total]],Analysis.SortColumnId)+Database[[#This Row],[Country Id]]/10000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lcome"/>
  <dimension ref="A1:L24"/>
  <sheetViews>
    <sheetView tabSelected="1" workbookViewId="0">
      <selection activeCell="K2" sqref="K2"/>
    </sheetView>
  </sheetViews>
  <sheetFormatPr defaultColWidth="0" defaultRowHeight="15" zeroHeight="1" x14ac:dyDescent="0.25"/>
  <cols>
    <col min="1" max="1" width="3.85546875" customWidth="1"/>
    <col min="2" max="2" width="16.5703125" customWidth="1"/>
    <col min="3" max="3" width="9.28515625" customWidth="1"/>
    <col min="4" max="4" width="11.5703125" customWidth="1"/>
    <col min="5" max="5" width="7.7109375" bestFit="1" customWidth="1"/>
    <col min="6" max="6" width="9.85546875" bestFit="1" customWidth="1"/>
    <col min="7" max="7" width="12.7109375" bestFit="1" customWidth="1"/>
    <col min="8" max="8" width="6.7109375" bestFit="1" customWidth="1"/>
    <col min="9" max="12" width="9.140625" customWidth="1"/>
    <col min="13" max="16384" width="9.140625" hidden="1"/>
  </cols>
  <sheetData>
    <row r="1" spans="1:12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39" customHeight="1" x14ac:dyDescent="0.7">
      <c r="A2" s="18"/>
      <c r="B2" s="113" t="s">
        <v>24</v>
      </c>
      <c r="C2" s="113"/>
      <c r="D2" s="113"/>
      <c r="E2" s="113"/>
      <c r="F2" s="113"/>
      <c r="G2" s="113"/>
      <c r="H2" s="113"/>
      <c r="I2" s="18"/>
      <c r="J2" s="18"/>
      <c r="K2" s="18"/>
      <c r="L2" s="18"/>
    </row>
    <row r="3" spans="1:12" x14ac:dyDescent="0.25">
      <c r="A3" s="25"/>
      <c r="B3" s="26"/>
      <c r="C3" s="26"/>
      <c r="D3" s="26"/>
      <c r="E3" s="26"/>
      <c r="F3" s="26"/>
      <c r="G3" s="26"/>
      <c r="H3" s="25"/>
      <c r="I3" s="25"/>
      <c r="J3" s="25"/>
      <c r="K3" s="18"/>
      <c r="L3" s="18"/>
    </row>
    <row r="4" spans="1:12" ht="25.5" x14ac:dyDescent="0.5">
      <c r="A4" s="25"/>
      <c r="B4" s="112" t="s">
        <v>63</v>
      </c>
      <c r="C4" s="112"/>
      <c r="D4" s="112"/>
      <c r="E4" s="112"/>
      <c r="F4" s="112"/>
      <c r="G4" s="112"/>
      <c r="H4" s="111"/>
      <c r="I4" s="111"/>
      <c r="J4" s="27"/>
      <c r="K4" s="18"/>
      <c r="L4" s="18"/>
    </row>
    <row r="5" spans="1:12" ht="15" customHeight="1" x14ac:dyDescent="0.25">
      <c r="A5" s="25"/>
      <c r="B5" s="115" t="s">
        <v>62</v>
      </c>
      <c r="C5" s="115"/>
      <c r="D5" s="115"/>
      <c r="E5" s="115"/>
      <c r="F5" s="115"/>
      <c r="G5" s="31"/>
      <c r="H5" s="32"/>
      <c r="I5" s="30"/>
      <c r="J5" s="25"/>
      <c r="K5" s="18"/>
      <c r="L5" s="18"/>
    </row>
    <row r="6" spans="1:12" x14ac:dyDescent="0.25">
      <c r="A6" s="25"/>
      <c r="B6" s="114"/>
      <c r="C6" s="114"/>
      <c r="D6" s="114"/>
      <c r="E6" s="114"/>
      <c r="F6" s="114"/>
      <c r="G6" s="29"/>
      <c r="H6" s="30"/>
      <c r="I6" s="30"/>
      <c r="J6" s="25"/>
      <c r="K6" s="18"/>
      <c r="L6" s="18"/>
    </row>
    <row r="7" spans="1:12" x14ac:dyDescent="0.25">
      <c r="A7" s="25"/>
      <c r="B7" s="33"/>
      <c r="C7" s="33"/>
      <c r="D7" s="33"/>
      <c r="E7" s="33"/>
      <c r="F7" s="33"/>
      <c r="G7" s="29"/>
      <c r="H7" s="30"/>
      <c r="I7" s="30"/>
      <c r="J7" s="25"/>
      <c r="K7" s="18"/>
      <c r="L7" s="18"/>
    </row>
    <row r="8" spans="1:12" x14ac:dyDescent="0.25">
      <c r="A8" s="25"/>
      <c r="B8" s="33"/>
      <c r="C8" s="33"/>
      <c r="D8" s="33"/>
      <c r="E8" s="33"/>
      <c r="F8" s="33"/>
      <c r="G8" s="29"/>
      <c r="H8" s="30"/>
      <c r="I8" s="30"/>
      <c r="J8" s="25"/>
      <c r="K8" s="18"/>
      <c r="L8" s="18"/>
    </row>
    <row r="9" spans="1:12" x14ac:dyDescent="0.25">
      <c r="A9" s="25"/>
      <c r="B9" s="28"/>
      <c r="C9" s="29"/>
      <c r="D9" s="29"/>
      <c r="E9" s="29"/>
      <c r="F9" s="29"/>
      <c r="G9" s="29"/>
      <c r="H9" s="30"/>
      <c r="I9" s="30"/>
      <c r="J9" s="25"/>
      <c r="K9" s="18"/>
      <c r="L9" s="18"/>
    </row>
    <row r="10" spans="1:12" x14ac:dyDescent="0.25">
      <c r="A10" s="25"/>
      <c r="B10" s="114" t="s">
        <v>64</v>
      </c>
      <c r="C10" s="114"/>
      <c r="D10" s="114"/>
      <c r="E10" s="114"/>
      <c r="F10" s="114"/>
      <c r="G10" s="29"/>
      <c r="H10" s="30"/>
      <c r="I10" s="30"/>
      <c r="J10" s="25"/>
      <c r="K10" s="18"/>
      <c r="L10" s="18"/>
    </row>
    <row r="11" spans="1:12" x14ac:dyDescent="0.25">
      <c r="A11" s="25"/>
      <c r="B11" s="114"/>
      <c r="C11" s="114"/>
      <c r="D11" s="114"/>
      <c r="E11" s="114"/>
      <c r="F11" s="114"/>
      <c r="G11" s="29"/>
      <c r="H11" s="30"/>
      <c r="I11" s="30"/>
      <c r="J11" s="25"/>
      <c r="K11" s="18"/>
      <c r="L11" s="18"/>
    </row>
    <row r="12" spans="1:12" x14ac:dyDescent="0.25">
      <c r="A12" s="25"/>
      <c r="B12" s="114"/>
      <c r="C12" s="114"/>
      <c r="D12" s="114"/>
      <c r="E12" s="114"/>
      <c r="F12" s="114"/>
      <c r="G12" s="29"/>
      <c r="H12" s="30"/>
      <c r="I12" s="30"/>
      <c r="J12" s="25"/>
      <c r="K12" s="18"/>
      <c r="L12" s="18"/>
    </row>
    <row r="13" spans="1:12" x14ac:dyDescent="0.25">
      <c r="A13" s="25"/>
      <c r="B13" s="114"/>
      <c r="C13" s="114"/>
      <c r="D13" s="114"/>
      <c r="E13" s="114"/>
      <c r="F13" s="114"/>
      <c r="G13" s="29"/>
      <c r="H13" s="25"/>
      <c r="I13" s="25"/>
      <c r="J13" s="25"/>
      <c r="K13" s="18"/>
      <c r="L13" s="18"/>
    </row>
    <row r="14" spans="1:12" x14ac:dyDescent="0.25">
      <c r="A14" s="25"/>
      <c r="B14" s="28"/>
      <c r="C14" s="29"/>
      <c r="D14" s="29"/>
      <c r="E14" s="29"/>
      <c r="F14" s="29"/>
      <c r="G14" s="29"/>
      <c r="H14" s="25"/>
      <c r="I14" s="25"/>
      <c r="J14" s="25"/>
      <c r="K14" s="18"/>
      <c r="L14" s="18"/>
    </row>
    <row r="15" spans="1:12" x14ac:dyDescent="0.25">
      <c r="A15" s="25"/>
      <c r="B15" s="28"/>
      <c r="C15" s="29"/>
      <c r="D15" s="29"/>
      <c r="E15" s="29"/>
      <c r="F15" s="29"/>
      <c r="G15" s="29"/>
      <c r="H15" s="25"/>
      <c r="I15" s="25"/>
      <c r="J15" s="25"/>
      <c r="K15" s="18"/>
      <c r="L15" s="18"/>
    </row>
    <row r="16" spans="1:12" x14ac:dyDescent="0.25">
      <c r="A16" s="25"/>
      <c r="B16" s="28"/>
      <c r="C16" s="29"/>
      <c r="D16" s="29"/>
      <c r="E16" s="29"/>
      <c r="F16" s="29"/>
      <c r="G16" s="29"/>
      <c r="H16" s="25"/>
      <c r="I16" s="25"/>
      <c r="J16" s="25"/>
      <c r="K16" s="18"/>
      <c r="L16" s="18"/>
    </row>
    <row r="17" spans="1:12" x14ac:dyDescent="0.25">
      <c r="A17" s="25"/>
      <c r="B17" s="28"/>
      <c r="C17" s="29"/>
      <c r="D17" s="29"/>
      <c r="E17" s="29"/>
      <c r="F17" s="29"/>
      <c r="G17" s="29"/>
      <c r="H17" s="25"/>
      <c r="I17" s="25"/>
      <c r="J17" s="25"/>
      <c r="K17" s="18"/>
      <c r="L17" s="18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</row>
  </sheetData>
  <mergeCells count="5">
    <mergeCell ref="H4:I4"/>
    <mergeCell ref="B4:G4"/>
    <mergeCell ref="B2:H2"/>
    <mergeCell ref="B10:F13"/>
    <mergeCell ref="B5:F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zard"/>
  <dimension ref="A1:AE23"/>
  <sheetViews>
    <sheetView zoomScale="90" zoomScaleNormal="90" workbookViewId="0">
      <selection activeCell="G4" sqref="G4:I4"/>
    </sheetView>
  </sheetViews>
  <sheetFormatPr defaultColWidth="0" defaultRowHeight="17.25" zeroHeight="1" x14ac:dyDescent="0.3"/>
  <cols>
    <col min="1" max="1" width="6.5703125" style="2" customWidth="1"/>
    <col min="2" max="2" width="37.140625" style="1" customWidth="1"/>
    <col min="3" max="3" width="2.42578125" style="3" customWidth="1"/>
    <col min="4" max="4" width="3.28515625" style="4" customWidth="1"/>
    <col min="5" max="5" width="9.140625" style="5" customWidth="1"/>
    <col min="6" max="6" width="15.42578125" style="5" customWidth="1"/>
    <col min="7" max="8" width="9.140625" style="5" customWidth="1"/>
    <col min="9" max="9" width="15.28515625" style="5" customWidth="1"/>
    <col min="10" max="10" width="1.7109375" style="5" customWidth="1"/>
    <col min="11" max="11" width="2.5703125" style="5" hidden="1" customWidth="1"/>
    <col min="12" max="13" width="9.140625" style="5" hidden="1" customWidth="1"/>
    <col min="14" max="14" width="12.7109375" style="5" hidden="1" customWidth="1"/>
    <col min="15" max="15" width="9.140625" style="5" hidden="1" customWidth="1"/>
    <col min="16" max="16" width="12.42578125" style="5" hidden="1" customWidth="1"/>
    <col min="17" max="17" width="33.140625" style="5" hidden="1" customWidth="1"/>
    <col min="18" max="22" width="9.140625" style="5" hidden="1" customWidth="1"/>
    <col min="23" max="23" width="18.7109375" style="5" hidden="1" customWidth="1"/>
    <col min="24" max="31" width="9.140625" style="5" hidden="1" customWidth="1"/>
    <col min="32" max="16384" width="9.140625" style="6" hidden="1"/>
  </cols>
  <sheetData>
    <row r="1" spans="1:31" x14ac:dyDescent="0.3"/>
    <row r="2" spans="1:31" ht="24" customHeight="1" x14ac:dyDescent="0.3">
      <c r="A2" s="116" t="s">
        <v>0</v>
      </c>
      <c r="B2" s="116"/>
      <c r="E2" s="117" t="str">
        <f>INDEX($B$4:$B$6,Helper.CurrentPageIndex,1)</f>
        <v>1. Introduction</v>
      </c>
      <c r="F2" s="117"/>
      <c r="G2" s="117"/>
      <c r="H2" s="117"/>
      <c r="L2" s="117" t="str">
        <f>INDEX(Wizard.StepRange,Helper.CurrentPageIndex,1)</f>
        <v>1. Introduction</v>
      </c>
      <c r="M2" s="117"/>
      <c r="N2" s="117"/>
      <c r="O2" s="117"/>
      <c r="S2" s="117" t="str">
        <f>INDEX($B$4:$B$6,Helper.CurrentPageIndex,1)</f>
        <v>1. Introduction</v>
      </c>
      <c r="T2" s="117"/>
      <c r="U2" s="117"/>
      <c r="V2" s="117"/>
      <c r="Y2" s="117" t="str">
        <f>B6</f>
        <v>3. Summary</v>
      </c>
      <c r="Z2" s="117"/>
      <c r="AA2" s="117"/>
      <c r="AB2" s="117"/>
    </row>
    <row r="3" spans="1:31" ht="17.25" customHeight="1" x14ac:dyDescent="0.3">
      <c r="Y3" s="10"/>
      <c r="Z3" s="10"/>
      <c r="AA3" s="10"/>
      <c r="AB3" s="10"/>
      <c r="AC3" s="10"/>
      <c r="AD3" s="10"/>
      <c r="AE3" s="10"/>
    </row>
    <row r="4" spans="1:31" ht="16.5" customHeight="1" x14ac:dyDescent="0.3">
      <c r="A4" s="7">
        <f>--(--LEFT(B4,1)=Helper.CurrentPageIndex)</f>
        <v>1</v>
      </c>
      <c r="B4" s="9" t="s">
        <v>3</v>
      </c>
      <c r="E4" s="118" t="s">
        <v>7</v>
      </c>
      <c r="F4" s="118"/>
      <c r="G4" s="120" t="s">
        <v>56</v>
      </c>
      <c r="H4" s="121"/>
      <c r="I4" s="122"/>
      <c r="L4" s="15" t="s">
        <v>10</v>
      </c>
      <c r="M4" s="15"/>
      <c r="N4" s="15"/>
      <c r="O4" s="16">
        <v>5</v>
      </c>
      <c r="P4" s="17" t="s">
        <v>23</v>
      </c>
      <c r="S4" s="5" t="s">
        <v>22</v>
      </c>
      <c r="Y4" s="10"/>
      <c r="Z4" s="10"/>
      <c r="AA4" s="10"/>
      <c r="AB4" s="10"/>
      <c r="AC4" s="10"/>
      <c r="AD4" s="10"/>
      <c r="AE4" s="10"/>
    </row>
    <row r="5" spans="1:31" ht="16.5" customHeight="1" x14ac:dyDescent="0.3">
      <c r="A5" s="7">
        <f>--(--LEFT(B5,1)=Helper.CurrentPageIndex)</f>
        <v>0</v>
      </c>
      <c r="B5" s="9" t="s">
        <v>5</v>
      </c>
      <c r="L5" s="14"/>
      <c r="M5" s="15"/>
      <c r="N5" s="15"/>
      <c r="O5" s="15"/>
      <c r="P5" s="15"/>
      <c r="Y5" s="10"/>
      <c r="Z5" s="10"/>
      <c r="AA5" s="10"/>
      <c r="AB5" s="10"/>
      <c r="AC5" s="10"/>
      <c r="AD5" s="10"/>
      <c r="AE5" s="10"/>
    </row>
    <row r="6" spans="1:31" ht="16.5" customHeight="1" x14ac:dyDescent="0.3">
      <c r="A6" s="7">
        <f>--(--LEFT(B6,1)=Helper.CurrentPageIndex)</f>
        <v>0</v>
      </c>
      <c r="B6" s="9" t="s">
        <v>6</v>
      </c>
      <c r="E6" s="119" t="s">
        <v>4</v>
      </c>
      <c r="F6" s="119"/>
      <c r="G6" s="124"/>
      <c r="H6" s="125"/>
      <c r="I6" s="126"/>
      <c r="L6" s="15" t="s">
        <v>11</v>
      </c>
      <c r="M6" s="15"/>
      <c r="N6" s="15"/>
      <c r="O6" s="16">
        <v>8</v>
      </c>
      <c r="P6" s="17" t="s">
        <v>23</v>
      </c>
      <c r="Y6" s="10"/>
      <c r="Z6" s="10"/>
      <c r="AA6" s="10"/>
      <c r="AB6" s="10"/>
      <c r="AC6" s="10"/>
      <c r="AD6" s="10"/>
      <c r="AE6" s="10"/>
    </row>
    <row r="7" spans="1:31" ht="16.5" customHeight="1" x14ac:dyDescent="0.3">
      <c r="E7" s="14"/>
      <c r="F7" s="14"/>
      <c r="G7" s="127"/>
      <c r="H7" s="128"/>
      <c r="I7" s="129"/>
      <c r="L7" s="14"/>
      <c r="M7" s="15"/>
      <c r="N7" s="15"/>
      <c r="O7" s="15"/>
      <c r="P7" s="15"/>
      <c r="Y7" s="10"/>
      <c r="Z7" s="10"/>
      <c r="AA7" s="10"/>
      <c r="AB7" s="10"/>
      <c r="AC7" s="10"/>
      <c r="AD7" s="10"/>
      <c r="AE7" s="10"/>
    </row>
    <row r="8" spans="1:31" x14ac:dyDescent="0.3">
      <c r="E8" s="119"/>
      <c r="F8" s="119"/>
      <c r="G8" s="127"/>
      <c r="H8" s="128"/>
      <c r="I8" s="129"/>
      <c r="L8" s="15" t="s">
        <v>12</v>
      </c>
      <c r="M8" s="15"/>
      <c r="N8" s="15"/>
      <c r="O8" s="16">
        <v>9</v>
      </c>
      <c r="P8" s="17" t="s">
        <v>23</v>
      </c>
    </row>
    <row r="9" spans="1:31" x14ac:dyDescent="0.3">
      <c r="G9" s="127"/>
      <c r="H9" s="128"/>
      <c r="I9" s="129"/>
      <c r="L9" s="14"/>
      <c r="M9" s="15"/>
      <c r="N9" s="15"/>
      <c r="O9" s="15"/>
      <c r="P9" s="15"/>
    </row>
    <row r="10" spans="1:31" x14ac:dyDescent="0.3">
      <c r="G10" s="127"/>
      <c r="H10" s="128"/>
      <c r="I10" s="129"/>
      <c r="L10" s="15" t="s">
        <v>9</v>
      </c>
      <c r="M10" s="15"/>
      <c r="N10" s="15"/>
      <c r="O10" s="16">
        <v>5</v>
      </c>
      <c r="P10" s="17" t="s">
        <v>23</v>
      </c>
    </row>
    <row r="11" spans="1:31" x14ac:dyDescent="0.3">
      <c r="G11" s="127"/>
      <c r="H11" s="128"/>
      <c r="I11" s="129"/>
      <c r="L11" s="14"/>
      <c r="M11" s="15"/>
      <c r="N11" s="15"/>
      <c r="O11" s="15"/>
      <c r="P11" s="15"/>
    </row>
    <row r="12" spans="1:31" x14ac:dyDescent="0.3">
      <c r="G12" s="127"/>
      <c r="H12" s="128"/>
      <c r="I12" s="129"/>
      <c r="L12" s="15" t="s">
        <v>8</v>
      </c>
      <c r="M12" s="15"/>
      <c r="N12" s="15"/>
      <c r="O12" s="16">
        <v>8</v>
      </c>
      <c r="P12" s="17" t="s">
        <v>23</v>
      </c>
    </row>
    <row r="13" spans="1:31" x14ac:dyDescent="0.3">
      <c r="B13" s="8" t="str">
        <f>"Page " &amp; Helper.CurrentPageIndex</f>
        <v>Page 1</v>
      </c>
      <c r="G13" s="127"/>
      <c r="H13" s="128"/>
      <c r="I13" s="129"/>
      <c r="L13" s="11"/>
      <c r="S13" s="123" t="s">
        <v>21</v>
      </c>
      <c r="T13" s="123"/>
      <c r="U13" s="123"/>
      <c r="V13" s="123"/>
    </row>
    <row r="14" spans="1:31" x14ac:dyDescent="0.3">
      <c r="G14" s="130"/>
      <c r="H14" s="131"/>
      <c r="I14" s="132"/>
      <c r="L14" s="11"/>
      <c r="S14" s="123"/>
      <c r="T14" s="123"/>
      <c r="U14" s="123"/>
      <c r="V14" s="123"/>
    </row>
    <row r="15" spans="1:31" x14ac:dyDescent="0.3">
      <c r="L15" s="11"/>
    </row>
    <row r="16" spans="1:31" x14ac:dyDescent="0.3">
      <c r="L16" s="11"/>
    </row>
    <row r="17" spans="12:12" x14ac:dyDescent="0.3">
      <c r="L17" s="11"/>
    </row>
    <row r="18" spans="12:12" x14ac:dyDescent="0.3">
      <c r="L18" s="11"/>
    </row>
    <row r="19" spans="12:12" x14ac:dyDescent="0.3">
      <c r="L19" s="11"/>
    </row>
    <row r="20" spans="12:12" x14ac:dyDescent="0.3">
      <c r="L20" s="11"/>
    </row>
    <row r="21" spans="12:12" x14ac:dyDescent="0.3"/>
    <row r="22" spans="12:12" x14ac:dyDescent="0.3"/>
    <row r="23" spans="12:12" x14ac:dyDescent="0.3"/>
  </sheetData>
  <mergeCells count="11">
    <mergeCell ref="Y2:AB2"/>
    <mergeCell ref="S13:V14"/>
    <mergeCell ref="G6:I14"/>
    <mergeCell ref="S2:V2"/>
    <mergeCell ref="L2:O2"/>
    <mergeCell ref="A2:B2"/>
    <mergeCell ref="E2:H2"/>
    <mergeCell ref="E4:F4"/>
    <mergeCell ref="E6:F6"/>
    <mergeCell ref="E8:F8"/>
    <mergeCell ref="G4:I4"/>
  </mergeCells>
  <conditionalFormatting sqref="B4:B6">
    <cfRule type="expression" dxfId="17" priority="6">
      <formula>($A4=1)</formula>
    </cfRule>
  </conditionalFormatting>
  <conditionalFormatting sqref="L4:L5 L7 L9 L11">
    <cfRule type="expression" dxfId="16" priority="9">
      <formula>($L13= TRUE)</formula>
    </cfRule>
  </conditionalFormatting>
  <conditionalFormatting sqref="L6">
    <cfRule type="expression" dxfId="15" priority="5">
      <formula>($L15= TRUE)</formula>
    </cfRule>
  </conditionalFormatting>
  <conditionalFormatting sqref="L12">
    <cfRule type="expression" dxfId="14" priority="1">
      <formula>($L21= TRUE)</formula>
    </cfRule>
  </conditionalFormatting>
  <conditionalFormatting sqref="L8">
    <cfRule type="expression" dxfId="13" priority="3">
      <formula>($L17= TRUE)</formula>
    </cfRule>
  </conditionalFormatting>
  <conditionalFormatting sqref="L10">
    <cfRule type="expression" dxfId="12" priority="2">
      <formula>($L19= TRUE)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O47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2" sqref="B2"/>
    </sheetView>
  </sheetViews>
  <sheetFormatPr defaultRowHeight="15" x14ac:dyDescent="0.25"/>
  <cols>
    <col min="1" max="1" width="17.7109375" customWidth="1"/>
    <col min="2" max="2" width="20.42578125" customWidth="1"/>
    <col min="3" max="3" width="13.140625" customWidth="1"/>
    <col min="4" max="4" width="10.85546875" customWidth="1"/>
    <col min="5" max="6" width="11.85546875" customWidth="1"/>
    <col min="7" max="7" width="12.28515625" customWidth="1"/>
    <col min="8" max="8" width="15.5703125" customWidth="1"/>
    <col min="9" max="9" width="17.42578125" customWidth="1"/>
    <col min="10" max="10" width="18.42578125" customWidth="1"/>
    <col min="11" max="11" width="18.85546875" customWidth="1"/>
    <col min="12" max="12" width="13.7109375" customWidth="1"/>
    <col min="13" max="13" width="17.85546875" customWidth="1"/>
    <col min="15" max="15" width="13.140625" customWidth="1"/>
  </cols>
  <sheetData>
    <row r="1" spans="1:15" ht="27" customHeight="1" x14ac:dyDescent="0.25">
      <c r="A1" s="22" t="s">
        <v>17</v>
      </c>
      <c r="B1" s="22" t="s">
        <v>7</v>
      </c>
      <c r="C1" s="22" t="s">
        <v>19</v>
      </c>
      <c r="D1" s="22" t="s">
        <v>10</v>
      </c>
      <c r="E1" s="22" t="s">
        <v>11</v>
      </c>
      <c r="F1" s="22" t="s">
        <v>12</v>
      </c>
      <c r="G1" s="22" t="s">
        <v>9</v>
      </c>
      <c r="H1" s="22" t="s">
        <v>8</v>
      </c>
      <c r="I1" s="36"/>
      <c r="J1" s="36"/>
      <c r="K1" s="18"/>
      <c r="L1" s="18"/>
      <c r="M1" s="18"/>
    </row>
    <row r="2" spans="1:15" x14ac:dyDescent="0.25">
      <c r="A2" s="23">
        <f>B6</f>
        <v>5</v>
      </c>
      <c r="B2" s="23" t="str">
        <f>Wizard.CountryName</f>
        <v>Boostan</v>
      </c>
      <c r="C2" s="23">
        <f>Wizard.Comment</f>
        <v>0</v>
      </c>
      <c r="D2" s="23">
        <f>Wizard.HealthLevel</f>
        <v>5</v>
      </c>
      <c r="E2" s="23">
        <f>Wizard.Responsiveness</f>
        <v>8</v>
      </c>
      <c r="F2" s="23">
        <f>Wizard.FinancialFairness</f>
        <v>9</v>
      </c>
      <c r="G2" s="23">
        <f>Wizard.HealthDistribution</f>
        <v>5</v>
      </c>
      <c r="H2" s="24">
        <f>Wizard.ResponsivenessDistribution</f>
        <v>8</v>
      </c>
      <c r="I2" s="18"/>
      <c r="J2" s="18"/>
      <c r="K2" s="18"/>
      <c r="L2" s="18"/>
      <c r="M2" s="18"/>
    </row>
    <row r="3" spans="1:15" ht="36.75" customHeight="1" x14ac:dyDescent="0.3">
      <c r="A3" s="18"/>
      <c r="B3" s="18"/>
      <c r="C3" s="18"/>
      <c r="D3" s="15"/>
      <c r="E3" s="15"/>
      <c r="F3" s="15"/>
      <c r="G3" s="15"/>
      <c r="H3" s="15"/>
      <c r="I3" s="18"/>
      <c r="J3" s="18"/>
      <c r="K3" s="18"/>
      <c r="L3" s="18"/>
      <c r="M3" s="18"/>
    </row>
    <row r="4" spans="1:15" x14ac:dyDescent="0.25">
      <c r="A4" s="20" t="s">
        <v>15</v>
      </c>
      <c r="B4" s="21">
        <f>COUNT(Database[Country Id])</f>
        <v>39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5" ht="15" customHeight="1" x14ac:dyDescent="0.25">
      <c r="A5" s="20" t="s">
        <v>66</v>
      </c>
      <c r="B5" s="21">
        <f>MAX(Database[Country Id])</f>
        <v>52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5" x14ac:dyDescent="0.25">
      <c r="A6" s="20" t="s">
        <v>16</v>
      </c>
      <c r="B6" s="21">
        <v>5</v>
      </c>
      <c r="C6" s="18"/>
      <c r="D6" s="18"/>
      <c r="E6" s="18"/>
      <c r="F6" s="18"/>
      <c r="G6" s="18"/>
      <c r="H6" s="18"/>
      <c r="I6" s="133" t="s">
        <v>73</v>
      </c>
      <c r="J6" s="134"/>
      <c r="K6" s="134"/>
      <c r="L6" s="134"/>
      <c r="M6" s="135"/>
    </row>
    <row r="7" spans="1:15" x14ac:dyDescent="0.25">
      <c r="A7" s="19"/>
      <c r="B7" s="18"/>
      <c r="C7" s="18"/>
      <c r="D7" s="18"/>
      <c r="E7" s="18"/>
      <c r="F7" s="18"/>
      <c r="G7" s="18"/>
      <c r="H7" s="18"/>
      <c r="I7" s="37">
        <f>Helper.HealthLevelWeight</f>
        <v>0.25</v>
      </c>
      <c r="J7" s="37">
        <f>Helper.ResponsivenessWeight</f>
        <v>0.125</v>
      </c>
      <c r="K7" s="38">
        <f>Helper.FinancialFairnessWeight</f>
        <v>0.25</v>
      </c>
      <c r="L7" s="38">
        <f>Helper.HealthDistributionWeight</f>
        <v>0.25</v>
      </c>
      <c r="M7" s="38">
        <f>Helper.ResponsivenessWeight</f>
        <v>0.125</v>
      </c>
    </row>
    <row r="8" spans="1:15" ht="39" x14ac:dyDescent="0.25">
      <c r="A8" s="34" t="s">
        <v>17</v>
      </c>
      <c r="B8" s="34" t="s">
        <v>7</v>
      </c>
      <c r="C8" s="34" t="s">
        <v>13</v>
      </c>
      <c r="D8" s="34" t="s">
        <v>10</v>
      </c>
      <c r="E8" s="34" t="s">
        <v>11</v>
      </c>
      <c r="F8" s="34" t="s">
        <v>12</v>
      </c>
      <c r="G8" s="34" t="s">
        <v>9</v>
      </c>
      <c r="H8" s="34" t="s">
        <v>8</v>
      </c>
      <c r="I8" s="35" t="s">
        <v>68</v>
      </c>
      <c r="J8" s="35" t="s">
        <v>69</v>
      </c>
      <c r="K8" s="35" t="s">
        <v>70</v>
      </c>
      <c r="L8" s="35" t="s">
        <v>71</v>
      </c>
      <c r="M8" s="35" t="s">
        <v>72</v>
      </c>
      <c r="N8" s="35" t="s">
        <v>74</v>
      </c>
      <c r="O8" s="35" t="s">
        <v>88</v>
      </c>
    </row>
    <row r="9" spans="1:15" x14ac:dyDescent="0.25">
      <c r="A9">
        <v>30</v>
      </c>
      <c r="B9" t="s">
        <v>50</v>
      </c>
      <c r="D9">
        <v>2</v>
      </c>
      <c r="E9">
        <v>2</v>
      </c>
      <c r="F9">
        <v>1</v>
      </c>
      <c r="G9">
        <v>8</v>
      </c>
      <c r="H9">
        <v>10</v>
      </c>
      <c r="I9" s="48">
        <f>Database[[#This Row],[Health Level]]/10*Helper.HealthLevelWeight</f>
        <v>0.05</v>
      </c>
      <c r="J9" s="48">
        <f>Database[[#This Row],[Responsiveness]]/10*Helper.ResponsivenessWeight</f>
        <v>2.5000000000000001E-2</v>
      </c>
      <c r="K9" s="48">
        <f>Database[[#This Row],[Financial Fairness]]/10*Helper.FinancialFairnessWeight</f>
        <v>2.5000000000000001E-2</v>
      </c>
      <c r="L9" s="48">
        <f>Database[[#This Row],[Health Distribution]]/10*Helper.HealthDistributionWeight</f>
        <v>0.2</v>
      </c>
      <c r="M9" s="48">
        <f>Database[[#This Row],[Responsiveness Distribution]]/10*Helper.ResponsivenessDistributionWeight</f>
        <v>0.125</v>
      </c>
      <c r="N9" s="39">
        <f>SUM(Database[[#This Row],[Health Level (weighted)]:[Responsiveness Distribution (weighted)]])*100</f>
        <v>42.500000000000007</v>
      </c>
      <c r="O9" s="49">
        <f>INDEX(Database[[#This Row],[Health Level (weighted)]:[Total]],Analysis.SortColumnId)+Database[[#This Row],[Country Id]]/10000</f>
        <v>2.8000000000000001E-2</v>
      </c>
    </row>
    <row r="10" spans="1:15" x14ac:dyDescent="0.25">
      <c r="A10">
        <v>24</v>
      </c>
      <c r="B10" t="s">
        <v>44</v>
      </c>
      <c r="D10">
        <v>4</v>
      </c>
      <c r="E10">
        <v>2</v>
      </c>
      <c r="F10">
        <v>4</v>
      </c>
      <c r="G10">
        <v>2</v>
      </c>
      <c r="H10">
        <v>3</v>
      </c>
      <c r="I10" s="48">
        <f>Database[[#This Row],[Health Level]]/10*Helper.HealthLevelWeight</f>
        <v>0.1</v>
      </c>
      <c r="J10" s="48">
        <f>Database[[#This Row],[Responsiveness]]/10*Helper.ResponsivenessWeight</f>
        <v>2.5000000000000001E-2</v>
      </c>
      <c r="K10" s="48">
        <f>Database[[#This Row],[Financial Fairness]]/10*Helper.FinancialFairnessWeight</f>
        <v>0.1</v>
      </c>
      <c r="L10" s="48">
        <f>Database[[#This Row],[Health Distribution]]/10*Helper.HealthDistributionWeight</f>
        <v>0.05</v>
      </c>
      <c r="M10" s="48">
        <f>Database[[#This Row],[Responsiveness Distribution]]/10*Helper.ResponsivenessDistributionWeight</f>
        <v>3.7499999999999999E-2</v>
      </c>
      <c r="N10" s="39">
        <f>SUM(Database[[#This Row],[Health Level (weighted)]:[Responsiveness Distribution (weighted)]])*100</f>
        <v>31.25</v>
      </c>
      <c r="O10" s="49">
        <f>INDEX(Database[[#This Row],[Health Level (weighted)]:[Total]],Analysis.SortColumnId)+Database[[#This Row],[Country Id]]/10000</f>
        <v>2.7400000000000001E-2</v>
      </c>
    </row>
    <row r="11" spans="1:15" x14ac:dyDescent="0.25">
      <c r="A11">
        <v>12</v>
      </c>
      <c r="B11" t="s">
        <v>34</v>
      </c>
      <c r="D11">
        <v>5</v>
      </c>
      <c r="E11">
        <v>9</v>
      </c>
      <c r="F11">
        <v>4</v>
      </c>
      <c r="G11">
        <v>10</v>
      </c>
      <c r="H11">
        <v>2</v>
      </c>
      <c r="I11" s="48">
        <f>Database[[#This Row],[Health Level]]/10*Helper.HealthLevelWeight</f>
        <v>0.125</v>
      </c>
      <c r="J11" s="48">
        <f>Database[[#This Row],[Responsiveness]]/10*Helper.ResponsivenessWeight</f>
        <v>0.1125</v>
      </c>
      <c r="K11" s="48">
        <f>Database[[#This Row],[Financial Fairness]]/10*Helper.FinancialFairnessWeight</f>
        <v>0.1</v>
      </c>
      <c r="L11" s="48">
        <f>Database[[#This Row],[Health Distribution]]/10*Helper.HealthDistributionWeight</f>
        <v>0.25</v>
      </c>
      <c r="M11" s="48">
        <f>Database[[#This Row],[Responsiveness Distribution]]/10*Helper.ResponsivenessDistributionWeight</f>
        <v>2.5000000000000001E-2</v>
      </c>
      <c r="N11" s="39">
        <f>SUM(Database[[#This Row],[Health Level (weighted)]:[Responsiveness Distribution (weighted)]])*100</f>
        <v>61.250000000000007</v>
      </c>
      <c r="O11" s="49">
        <f>INDEX(Database[[#This Row],[Health Level (weighted)]:[Total]],Analysis.SortColumnId)+Database[[#This Row],[Country Id]]/10000</f>
        <v>0.11370000000000001</v>
      </c>
    </row>
    <row r="12" spans="1:15" x14ac:dyDescent="0.25">
      <c r="A12">
        <v>22</v>
      </c>
      <c r="B12" t="s">
        <v>42</v>
      </c>
      <c r="D12">
        <v>5</v>
      </c>
      <c r="E12">
        <v>7</v>
      </c>
      <c r="F12">
        <v>6</v>
      </c>
      <c r="G12">
        <v>1</v>
      </c>
      <c r="H12">
        <v>1</v>
      </c>
      <c r="I12" s="48">
        <f>Database[[#This Row],[Health Level]]/10*Helper.HealthLevelWeight</f>
        <v>0.125</v>
      </c>
      <c r="J12" s="48">
        <f>Database[[#This Row],[Responsiveness]]/10*Helper.ResponsivenessWeight</f>
        <v>8.7499999999999994E-2</v>
      </c>
      <c r="K12" s="48">
        <f>Database[[#This Row],[Financial Fairness]]/10*Helper.FinancialFairnessWeight</f>
        <v>0.15</v>
      </c>
      <c r="L12" s="48">
        <f>Database[[#This Row],[Health Distribution]]/10*Helper.HealthDistributionWeight</f>
        <v>2.5000000000000001E-2</v>
      </c>
      <c r="M12" s="48">
        <f>Database[[#This Row],[Responsiveness Distribution]]/10*Helper.ResponsivenessDistributionWeight</f>
        <v>1.2500000000000001E-2</v>
      </c>
      <c r="N12" s="39">
        <f>SUM(Database[[#This Row],[Health Level (weighted)]:[Responsiveness Distribution (weighted)]])*100</f>
        <v>40</v>
      </c>
      <c r="O12" s="49">
        <f>INDEX(Database[[#This Row],[Health Level (weighted)]:[Total]],Analysis.SortColumnId)+Database[[#This Row],[Country Id]]/10000</f>
        <v>8.9699999999999988E-2</v>
      </c>
    </row>
    <row r="13" spans="1:15" x14ac:dyDescent="0.25">
      <c r="A13">
        <v>37</v>
      </c>
      <c r="B13" t="s">
        <v>56</v>
      </c>
      <c r="D13">
        <v>5</v>
      </c>
      <c r="E13">
        <v>8</v>
      </c>
      <c r="F13">
        <v>9</v>
      </c>
      <c r="G13">
        <v>5</v>
      </c>
      <c r="H13">
        <v>8</v>
      </c>
      <c r="I13" s="48">
        <f>Database[[#This Row],[Health Level]]/10*Helper.HealthLevelWeight</f>
        <v>0.125</v>
      </c>
      <c r="J13" s="48">
        <f>Database[[#This Row],[Responsiveness]]/10*Helper.ResponsivenessWeight</f>
        <v>0.1</v>
      </c>
      <c r="K13" s="48">
        <f>Database[[#This Row],[Financial Fairness]]/10*Helper.FinancialFairnessWeight</f>
        <v>0.22500000000000001</v>
      </c>
      <c r="L13" s="48">
        <f>Database[[#This Row],[Health Distribution]]/10*Helper.HealthDistributionWeight</f>
        <v>0.125</v>
      </c>
      <c r="M13" s="48">
        <f>Database[[#This Row],[Responsiveness Distribution]]/10*Helper.ResponsivenessDistributionWeight</f>
        <v>0.1</v>
      </c>
      <c r="N13" s="39">
        <f>SUM(Database[[#This Row],[Health Level (weighted)]:[Responsiveness Distribution (weighted)]])*100</f>
        <v>67.5</v>
      </c>
      <c r="O13" s="49">
        <f>INDEX(Database[[#This Row],[Health Level (weighted)]:[Total]],Analysis.SortColumnId)+Database[[#This Row],[Country Id]]/10000</f>
        <v>0.1037</v>
      </c>
    </row>
    <row r="14" spans="1:15" x14ac:dyDescent="0.25">
      <c r="A14">
        <v>9</v>
      </c>
      <c r="B14" t="s">
        <v>31</v>
      </c>
      <c r="D14">
        <v>3</v>
      </c>
      <c r="E14">
        <v>1</v>
      </c>
      <c r="F14">
        <v>10</v>
      </c>
      <c r="G14">
        <v>1</v>
      </c>
      <c r="H14">
        <v>8</v>
      </c>
      <c r="I14" s="48">
        <f>Database[[#This Row],[Health Level]]/10*Helper.HealthLevelWeight</f>
        <v>7.4999999999999997E-2</v>
      </c>
      <c r="J14" s="48">
        <f>Database[[#This Row],[Responsiveness]]/10*Helper.ResponsivenessWeight</f>
        <v>1.2500000000000001E-2</v>
      </c>
      <c r="K14" s="48">
        <f>Database[[#This Row],[Financial Fairness]]/10*Helper.FinancialFairnessWeight</f>
        <v>0.25</v>
      </c>
      <c r="L14" s="48">
        <f>Database[[#This Row],[Health Distribution]]/10*Helper.HealthDistributionWeight</f>
        <v>2.5000000000000001E-2</v>
      </c>
      <c r="M14" s="48">
        <f>Database[[#This Row],[Responsiveness Distribution]]/10*Helper.ResponsivenessDistributionWeight</f>
        <v>0.1</v>
      </c>
      <c r="N14" s="39">
        <f>SUM(Database[[#This Row],[Health Level (weighted)]:[Responsiveness Distribution (weighted)]])*100</f>
        <v>46.25</v>
      </c>
      <c r="O14" s="49">
        <f>INDEX(Database[[#This Row],[Health Level (weighted)]:[Total]],Analysis.SortColumnId)+Database[[#This Row],[Country Id]]/10000</f>
        <v>1.34E-2</v>
      </c>
    </row>
    <row r="15" spans="1:15" x14ac:dyDescent="0.25">
      <c r="A15">
        <v>50</v>
      </c>
      <c r="B15" t="s">
        <v>61</v>
      </c>
      <c r="D15">
        <v>9</v>
      </c>
      <c r="E15">
        <v>7</v>
      </c>
      <c r="F15">
        <v>5</v>
      </c>
      <c r="G15">
        <v>9</v>
      </c>
      <c r="H15">
        <v>8</v>
      </c>
      <c r="I15" s="48">
        <f>Database[[#This Row],[Health Level]]/10*Helper.HealthLevelWeight</f>
        <v>0.22500000000000001</v>
      </c>
      <c r="J15" s="48">
        <f>Database[[#This Row],[Responsiveness]]/10*Helper.ResponsivenessWeight</f>
        <v>8.7499999999999994E-2</v>
      </c>
      <c r="K15" s="48">
        <f>Database[[#This Row],[Financial Fairness]]/10*Helper.FinancialFairnessWeight</f>
        <v>0.125</v>
      </c>
      <c r="L15" s="48">
        <f>Database[[#This Row],[Health Distribution]]/10*Helper.HealthDistributionWeight</f>
        <v>0.22500000000000001</v>
      </c>
      <c r="M15" s="48">
        <f>Database[[#This Row],[Responsiveness Distribution]]/10*Helper.ResponsivenessDistributionWeight</f>
        <v>0.1</v>
      </c>
      <c r="N15" s="39">
        <f>SUM(Database[[#This Row],[Health Level (weighted)]:[Responsiveness Distribution (weighted)]])*100</f>
        <v>76.25</v>
      </c>
      <c r="O15" s="49">
        <f>INDEX(Database[[#This Row],[Health Level (weighted)]:[Total]],Analysis.SortColumnId)+Database[[#This Row],[Country Id]]/10000</f>
        <v>9.2499999999999999E-2</v>
      </c>
    </row>
    <row r="16" spans="1:15" x14ac:dyDescent="0.25">
      <c r="A16">
        <v>16</v>
      </c>
      <c r="B16" t="s">
        <v>38</v>
      </c>
      <c r="D16">
        <v>6</v>
      </c>
      <c r="E16">
        <v>8</v>
      </c>
      <c r="F16">
        <v>7</v>
      </c>
      <c r="G16">
        <v>10</v>
      </c>
      <c r="H16">
        <v>3</v>
      </c>
      <c r="I16" s="48">
        <f>Database[[#This Row],[Health Level]]/10*Helper.HealthLevelWeight</f>
        <v>0.15</v>
      </c>
      <c r="J16" s="48">
        <f>Database[[#This Row],[Responsiveness]]/10*Helper.ResponsivenessWeight</f>
        <v>0.1</v>
      </c>
      <c r="K16" s="48">
        <f>Database[[#This Row],[Financial Fairness]]/10*Helper.FinancialFairnessWeight</f>
        <v>0.17499999999999999</v>
      </c>
      <c r="L16" s="48">
        <f>Database[[#This Row],[Health Distribution]]/10*Helper.HealthDistributionWeight</f>
        <v>0.25</v>
      </c>
      <c r="M16" s="48">
        <f>Database[[#This Row],[Responsiveness Distribution]]/10*Helper.ResponsivenessDistributionWeight</f>
        <v>3.7499999999999999E-2</v>
      </c>
      <c r="N16" s="39">
        <f>SUM(Database[[#This Row],[Health Level (weighted)]:[Responsiveness Distribution (weighted)]])*100</f>
        <v>71.25</v>
      </c>
      <c r="O16" s="49">
        <f>INDEX(Database[[#This Row],[Health Level (weighted)]:[Total]],Analysis.SortColumnId)+Database[[#This Row],[Country Id]]/10000</f>
        <v>0.10160000000000001</v>
      </c>
    </row>
    <row r="17" spans="1:15" x14ac:dyDescent="0.25">
      <c r="A17">
        <v>2</v>
      </c>
      <c r="B17" t="s">
        <v>26</v>
      </c>
      <c r="C17" t="s">
        <v>18</v>
      </c>
      <c r="D17">
        <v>10</v>
      </c>
      <c r="E17">
        <v>9</v>
      </c>
      <c r="F17">
        <v>9</v>
      </c>
      <c r="G17">
        <v>8</v>
      </c>
      <c r="H17">
        <v>5</v>
      </c>
      <c r="I17" s="48">
        <f>Database[[#This Row],[Health Level]]/10*Helper.HealthLevelWeight</f>
        <v>0.25</v>
      </c>
      <c r="J17" s="48">
        <f>Database[[#This Row],[Responsiveness]]/10*Helper.ResponsivenessWeight</f>
        <v>0.1125</v>
      </c>
      <c r="K17" s="48">
        <f>Database[[#This Row],[Financial Fairness]]/10*Helper.FinancialFairnessWeight</f>
        <v>0.22500000000000001</v>
      </c>
      <c r="L17" s="48">
        <f>Database[[#This Row],[Health Distribution]]/10*Helper.HealthDistributionWeight</f>
        <v>0.2</v>
      </c>
      <c r="M17" s="48">
        <f>Database[[#This Row],[Responsiveness Distribution]]/10*Helper.ResponsivenessDistributionWeight</f>
        <v>6.25E-2</v>
      </c>
      <c r="N17" s="39">
        <f>SUM(Database[[#This Row],[Health Level (weighted)]:[Responsiveness Distribution (weighted)]])*100</f>
        <v>85.000000000000014</v>
      </c>
      <c r="O17" s="49">
        <f>INDEX(Database[[#This Row],[Health Level (weighted)]:[Total]],Analysis.SortColumnId)+Database[[#This Row],[Country Id]]/10000</f>
        <v>0.11270000000000001</v>
      </c>
    </row>
    <row r="18" spans="1:15" x14ac:dyDescent="0.25">
      <c r="A18">
        <v>6</v>
      </c>
      <c r="B18" t="s">
        <v>28</v>
      </c>
      <c r="D18">
        <v>3</v>
      </c>
      <c r="E18">
        <v>1</v>
      </c>
      <c r="F18">
        <v>2</v>
      </c>
      <c r="G18">
        <v>8</v>
      </c>
      <c r="H18">
        <v>2</v>
      </c>
      <c r="I18" s="48">
        <f>Database[[#This Row],[Health Level]]/10*Helper.HealthLevelWeight</f>
        <v>7.4999999999999997E-2</v>
      </c>
      <c r="J18" s="48">
        <f>Database[[#This Row],[Responsiveness]]/10*Helper.ResponsivenessWeight</f>
        <v>1.2500000000000001E-2</v>
      </c>
      <c r="K18" s="48">
        <f>Database[[#This Row],[Financial Fairness]]/10*Helper.FinancialFairnessWeight</f>
        <v>0.05</v>
      </c>
      <c r="L18" s="48">
        <f>Database[[#This Row],[Health Distribution]]/10*Helper.HealthDistributionWeight</f>
        <v>0.2</v>
      </c>
      <c r="M18" s="48">
        <f>Database[[#This Row],[Responsiveness Distribution]]/10*Helper.ResponsivenessDistributionWeight</f>
        <v>2.5000000000000001E-2</v>
      </c>
      <c r="N18" s="39">
        <f>SUM(Database[[#This Row],[Health Level (weighted)]:[Responsiveness Distribution (weighted)]])*100</f>
        <v>36.250000000000007</v>
      </c>
      <c r="O18" s="49">
        <f>INDEX(Database[[#This Row],[Health Level (weighted)]:[Total]],Analysis.SortColumnId)+Database[[#This Row],[Country Id]]/10000</f>
        <v>1.3100000000000001E-2</v>
      </c>
    </row>
    <row r="19" spans="1:15" x14ac:dyDescent="0.25">
      <c r="A19">
        <v>28</v>
      </c>
      <c r="B19" t="s">
        <v>48</v>
      </c>
      <c r="D19">
        <v>2</v>
      </c>
      <c r="E19">
        <v>8</v>
      </c>
      <c r="F19">
        <v>6</v>
      </c>
      <c r="G19">
        <v>2</v>
      </c>
      <c r="H19">
        <v>6</v>
      </c>
      <c r="I19" s="48">
        <f>Database[[#This Row],[Health Level]]/10*Helper.HealthLevelWeight</f>
        <v>0.05</v>
      </c>
      <c r="J19" s="48">
        <f>Database[[#This Row],[Responsiveness]]/10*Helper.ResponsivenessWeight</f>
        <v>0.1</v>
      </c>
      <c r="K19" s="48">
        <f>Database[[#This Row],[Financial Fairness]]/10*Helper.FinancialFairnessWeight</f>
        <v>0.15</v>
      </c>
      <c r="L19" s="48">
        <f>Database[[#This Row],[Health Distribution]]/10*Helper.HealthDistributionWeight</f>
        <v>0.05</v>
      </c>
      <c r="M19" s="48">
        <f>Database[[#This Row],[Responsiveness Distribution]]/10*Helper.ResponsivenessDistributionWeight</f>
        <v>7.4999999999999997E-2</v>
      </c>
      <c r="N19" s="39">
        <f>SUM(Database[[#This Row],[Health Level (weighted)]:[Responsiveness Distribution (weighted)]])*100</f>
        <v>42.500000000000007</v>
      </c>
      <c r="O19" s="49">
        <f>INDEX(Database[[#This Row],[Health Level (weighted)]:[Total]],Analysis.SortColumnId)+Database[[#This Row],[Country Id]]/10000</f>
        <v>0.1028</v>
      </c>
    </row>
    <row r="20" spans="1:15" x14ac:dyDescent="0.25">
      <c r="A20">
        <v>36</v>
      </c>
      <c r="B20" t="s">
        <v>55</v>
      </c>
      <c r="D20">
        <v>4</v>
      </c>
      <c r="E20">
        <v>2</v>
      </c>
      <c r="F20">
        <v>9</v>
      </c>
      <c r="G20">
        <v>9</v>
      </c>
      <c r="H20">
        <v>2</v>
      </c>
      <c r="I20" s="48">
        <f>Database[[#This Row],[Health Level]]/10*Helper.HealthLevelWeight</f>
        <v>0.1</v>
      </c>
      <c r="J20" s="48">
        <f>Database[[#This Row],[Responsiveness]]/10*Helper.ResponsivenessWeight</f>
        <v>2.5000000000000001E-2</v>
      </c>
      <c r="K20" s="48">
        <f>Database[[#This Row],[Financial Fairness]]/10*Helper.FinancialFairnessWeight</f>
        <v>0.22500000000000001</v>
      </c>
      <c r="L20" s="48">
        <f>Database[[#This Row],[Health Distribution]]/10*Helper.HealthDistributionWeight</f>
        <v>0.22500000000000001</v>
      </c>
      <c r="M20" s="48">
        <f>Database[[#This Row],[Responsiveness Distribution]]/10*Helper.ResponsivenessDistributionWeight</f>
        <v>2.5000000000000001E-2</v>
      </c>
      <c r="N20" s="39">
        <f>SUM(Database[[#This Row],[Health Level (weighted)]:[Responsiveness Distribution (weighted)]])*100</f>
        <v>60</v>
      </c>
      <c r="O20" s="49">
        <f>INDEX(Database[[#This Row],[Health Level (weighted)]:[Total]],Analysis.SortColumnId)+Database[[#This Row],[Country Id]]/10000</f>
        <v>2.86E-2</v>
      </c>
    </row>
    <row r="21" spans="1:15" x14ac:dyDescent="0.25">
      <c r="A21">
        <v>48</v>
      </c>
      <c r="B21" t="s">
        <v>60</v>
      </c>
      <c r="D21">
        <v>8</v>
      </c>
      <c r="E21">
        <v>10</v>
      </c>
      <c r="F21">
        <v>7</v>
      </c>
      <c r="G21">
        <v>5</v>
      </c>
      <c r="H21">
        <v>9</v>
      </c>
      <c r="I21" s="48">
        <f>Database[[#This Row],[Health Level]]/10*Helper.HealthLevelWeight</f>
        <v>0.2</v>
      </c>
      <c r="J21" s="48">
        <f>Database[[#This Row],[Responsiveness]]/10*Helper.ResponsivenessWeight</f>
        <v>0.125</v>
      </c>
      <c r="K21" s="48">
        <f>Database[[#This Row],[Financial Fairness]]/10*Helper.FinancialFairnessWeight</f>
        <v>0.17499999999999999</v>
      </c>
      <c r="L21" s="48">
        <f>Database[[#This Row],[Health Distribution]]/10*Helper.HealthDistributionWeight</f>
        <v>0.125</v>
      </c>
      <c r="M21" s="48">
        <f>Database[[#This Row],[Responsiveness Distribution]]/10*Helper.ResponsivenessDistributionWeight</f>
        <v>0.1125</v>
      </c>
      <c r="N21" s="39">
        <f>SUM(Database[[#This Row],[Health Level (weighted)]:[Responsiveness Distribution (weighted)]])*100</f>
        <v>73.75</v>
      </c>
      <c r="O21" s="49">
        <f>INDEX(Database[[#This Row],[Health Level (weighted)]:[Total]],Analysis.SortColumnId)+Database[[#This Row],[Country Id]]/10000</f>
        <v>0.1298</v>
      </c>
    </row>
    <row r="22" spans="1:15" x14ac:dyDescent="0.25">
      <c r="A22">
        <v>27</v>
      </c>
      <c r="B22" t="s">
        <v>47</v>
      </c>
      <c r="D22">
        <v>9</v>
      </c>
      <c r="E22">
        <v>9</v>
      </c>
      <c r="F22">
        <v>10</v>
      </c>
      <c r="G22">
        <v>10</v>
      </c>
      <c r="H22">
        <v>3</v>
      </c>
      <c r="I22" s="48">
        <f>Database[[#This Row],[Health Level]]/10*Helper.HealthLevelWeight</f>
        <v>0.22500000000000001</v>
      </c>
      <c r="J22" s="48">
        <f>Database[[#This Row],[Responsiveness]]/10*Helper.ResponsivenessWeight</f>
        <v>0.1125</v>
      </c>
      <c r="K22" s="48">
        <f>Database[[#This Row],[Financial Fairness]]/10*Helper.FinancialFairnessWeight</f>
        <v>0.25</v>
      </c>
      <c r="L22" s="48">
        <f>Database[[#This Row],[Health Distribution]]/10*Helper.HealthDistributionWeight</f>
        <v>0.25</v>
      </c>
      <c r="M22" s="48">
        <f>Database[[#This Row],[Responsiveness Distribution]]/10*Helper.ResponsivenessDistributionWeight</f>
        <v>3.7499999999999999E-2</v>
      </c>
      <c r="N22" s="39">
        <f>SUM(Database[[#This Row],[Health Level (weighted)]:[Responsiveness Distribution (weighted)]])*100</f>
        <v>87.5</v>
      </c>
      <c r="O22" s="49">
        <f>INDEX(Database[[#This Row],[Health Level (weighted)]:[Total]],Analysis.SortColumnId)+Database[[#This Row],[Country Id]]/10000</f>
        <v>0.1152</v>
      </c>
    </row>
    <row r="23" spans="1:15" x14ac:dyDescent="0.25">
      <c r="A23">
        <v>33</v>
      </c>
      <c r="B23" t="s">
        <v>53</v>
      </c>
      <c r="D23">
        <v>8</v>
      </c>
      <c r="E23">
        <v>5</v>
      </c>
      <c r="F23">
        <v>10</v>
      </c>
      <c r="G23">
        <v>10</v>
      </c>
      <c r="H23">
        <v>8</v>
      </c>
      <c r="I23" s="48">
        <f>Database[[#This Row],[Health Level]]/10*Helper.HealthLevelWeight</f>
        <v>0.2</v>
      </c>
      <c r="J23" s="48">
        <f>Database[[#This Row],[Responsiveness]]/10*Helper.ResponsivenessWeight</f>
        <v>6.25E-2</v>
      </c>
      <c r="K23" s="48">
        <f>Database[[#This Row],[Financial Fairness]]/10*Helper.FinancialFairnessWeight</f>
        <v>0.25</v>
      </c>
      <c r="L23" s="48">
        <f>Database[[#This Row],[Health Distribution]]/10*Helper.HealthDistributionWeight</f>
        <v>0.25</v>
      </c>
      <c r="M23" s="48">
        <f>Database[[#This Row],[Responsiveness Distribution]]/10*Helper.ResponsivenessDistributionWeight</f>
        <v>0.1</v>
      </c>
      <c r="N23" s="39">
        <f>SUM(Database[[#This Row],[Health Level (weighted)]:[Responsiveness Distribution (weighted)]])*100</f>
        <v>86.25</v>
      </c>
      <c r="O23" s="49">
        <f>INDEX(Database[[#This Row],[Health Level (weighted)]:[Total]],Analysis.SortColumnId)+Database[[#This Row],[Country Id]]/10000</f>
        <v>6.5799999999999997E-2</v>
      </c>
    </row>
    <row r="24" spans="1:15" x14ac:dyDescent="0.25">
      <c r="A24">
        <v>25</v>
      </c>
      <c r="B24" t="s">
        <v>45</v>
      </c>
      <c r="D24">
        <v>7</v>
      </c>
      <c r="E24">
        <v>5</v>
      </c>
      <c r="F24">
        <v>8</v>
      </c>
      <c r="G24">
        <v>10</v>
      </c>
      <c r="H24">
        <v>10</v>
      </c>
      <c r="I24" s="48">
        <f>Database[[#This Row],[Health Level]]/10*Helper.HealthLevelWeight</f>
        <v>0.17499999999999999</v>
      </c>
      <c r="J24" s="48">
        <f>Database[[#This Row],[Responsiveness]]/10*Helper.ResponsivenessWeight</f>
        <v>6.25E-2</v>
      </c>
      <c r="K24" s="48">
        <f>Database[[#This Row],[Financial Fairness]]/10*Helper.FinancialFairnessWeight</f>
        <v>0.2</v>
      </c>
      <c r="L24" s="48">
        <f>Database[[#This Row],[Health Distribution]]/10*Helper.HealthDistributionWeight</f>
        <v>0.25</v>
      </c>
      <c r="M24" s="48">
        <f>Database[[#This Row],[Responsiveness Distribution]]/10*Helper.ResponsivenessDistributionWeight</f>
        <v>0.125</v>
      </c>
      <c r="N24" s="39">
        <f>SUM(Database[[#This Row],[Health Level (weighted)]:[Responsiveness Distribution (weighted)]])*100</f>
        <v>81.25</v>
      </c>
      <c r="O24" s="49">
        <f>INDEX(Database[[#This Row],[Health Level (weighted)]:[Total]],Analysis.SortColumnId)+Database[[#This Row],[Country Id]]/10000</f>
        <v>6.5000000000000002E-2</v>
      </c>
    </row>
    <row r="25" spans="1:15" x14ac:dyDescent="0.25">
      <c r="A25">
        <v>15</v>
      </c>
      <c r="B25" t="s">
        <v>37</v>
      </c>
      <c r="D25">
        <v>5</v>
      </c>
      <c r="E25">
        <v>9</v>
      </c>
      <c r="F25">
        <v>10</v>
      </c>
      <c r="G25">
        <v>10</v>
      </c>
      <c r="H25">
        <v>1</v>
      </c>
      <c r="I25" s="48">
        <f>Database[[#This Row],[Health Level]]/10*Helper.HealthLevelWeight</f>
        <v>0.125</v>
      </c>
      <c r="J25" s="48">
        <f>Database[[#This Row],[Responsiveness]]/10*Helper.ResponsivenessWeight</f>
        <v>0.1125</v>
      </c>
      <c r="K25" s="48">
        <f>Database[[#This Row],[Financial Fairness]]/10*Helper.FinancialFairnessWeight</f>
        <v>0.25</v>
      </c>
      <c r="L25" s="48">
        <f>Database[[#This Row],[Health Distribution]]/10*Helper.HealthDistributionWeight</f>
        <v>0.25</v>
      </c>
      <c r="M25" s="48">
        <f>Database[[#This Row],[Responsiveness Distribution]]/10*Helper.ResponsivenessDistributionWeight</f>
        <v>1.2500000000000001E-2</v>
      </c>
      <c r="N25" s="39">
        <f>SUM(Database[[#This Row],[Health Level (weighted)]:[Responsiveness Distribution (weighted)]])*100</f>
        <v>75</v>
      </c>
      <c r="O25" s="49">
        <f>INDEX(Database[[#This Row],[Health Level (weighted)]:[Total]],Analysis.SortColumnId)+Database[[#This Row],[Country Id]]/10000</f>
        <v>0.114</v>
      </c>
    </row>
    <row r="26" spans="1:15" x14ac:dyDescent="0.25">
      <c r="A26">
        <v>20</v>
      </c>
      <c r="B26" t="s">
        <v>40</v>
      </c>
      <c r="D26">
        <v>6</v>
      </c>
      <c r="E26">
        <v>2</v>
      </c>
      <c r="F26">
        <v>5</v>
      </c>
      <c r="G26">
        <v>6</v>
      </c>
      <c r="H26">
        <v>6</v>
      </c>
      <c r="I26" s="48">
        <f>Database[[#This Row],[Health Level]]/10*Helper.HealthLevelWeight</f>
        <v>0.15</v>
      </c>
      <c r="J26" s="48">
        <f>Database[[#This Row],[Responsiveness]]/10*Helper.ResponsivenessWeight</f>
        <v>2.5000000000000001E-2</v>
      </c>
      <c r="K26" s="48">
        <f>Database[[#This Row],[Financial Fairness]]/10*Helper.FinancialFairnessWeight</f>
        <v>0.125</v>
      </c>
      <c r="L26" s="48">
        <f>Database[[#This Row],[Health Distribution]]/10*Helper.HealthDistributionWeight</f>
        <v>0.15</v>
      </c>
      <c r="M26" s="48">
        <f>Database[[#This Row],[Responsiveness Distribution]]/10*Helper.ResponsivenessDistributionWeight</f>
        <v>7.4999999999999997E-2</v>
      </c>
      <c r="N26" s="39">
        <f>SUM(Database[[#This Row],[Health Level (weighted)]:[Responsiveness Distribution (weighted)]])*100</f>
        <v>52.499999999999993</v>
      </c>
      <c r="O26" s="49">
        <f>INDEX(Database[[#This Row],[Health Level (weighted)]:[Total]],Analysis.SortColumnId)+Database[[#This Row],[Country Id]]/10000</f>
        <v>2.7000000000000003E-2</v>
      </c>
    </row>
    <row r="27" spans="1:15" x14ac:dyDescent="0.25">
      <c r="A27">
        <v>38</v>
      </c>
      <c r="B27" t="s">
        <v>57</v>
      </c>
      <c r="D27">
        <v>10</v>
      </c>
      <c r="E27">
        <v>1</v>
      </c>
      <c r="F27">
        <v>9</v>
      </c>
      <c r="G27">
        <v>7</v>
      </c>
      <c r="H27">
        <v>5</v>
      </c>
      <c r="I27" s="48">
        <f>Database[[#This Row],[Health Level]]/10*Helper.HealthLevelWeight</f>
        <v>0.25</v>
      </c>
      <c r="J27" s="48">
        <f>Database[[#This Row],[Responsiveness]]/10*Helper.ResponsivenessWeight</f>
        <v>1.2500000000000001E-2</v>
      </c>
      <c r="K27" s="48">
        <f>Database[[#This Row],[Financial Fairness]]/10*Helper.FinancialFairnessWeight</f>
        <v>0.22500000000000001</v>
      </c>
      <c r="L27" s="48">
        <f>Database[[#This Row],[Health Distribution]]/10*Helper.HealthDistributionWeight</f>
        <v>0.17499999999999999</v>
      </c>
      <c r="M27" s="48">
        <f>Database[[#This Row],[Responsiveness Distribution]]/10*Helper.ResponsivenessDistributionWeight</f>
        <v>6.25E-2</v>
      </c>
      <c r="N27" s="39">
        <f>SUM(Database[[#This Row],[Health Level (weighted)]:[Responsiveness Distribution (weighted)]])*100</f>
        <v>72.500000000000014</v>
      </c>
      <c r="O27" s="49">
        <f>INDEX(Database[[#This Row],[Health Level (weighted)]:[Total]],Analysis.SortColumnId)+Database[[#This Row],[Country Id]]/10000</f>
        <v>1.6300000000000002E-2</v>
      </c>
    </row>
    <row r="28" spans="1:15" x14ac:dyDescent="0.25">
      <c r="A28">
        <v>11</v>
      </c>
      <c r="B28" t="s">
        <v>33</v>
      </c>
      <c r="D28">
        <v>9</v>
      </c>
      <c r="E28">
        <v>2</v>
      </c>
      <c r="F28">
        <v>1</v>
      </c>
      <c r="G28">
        <v>1</v>
      </c>
      <c r="H28">
        <v>1</v>
      </c>
      <c r="I28" s="48">
        <f>Database[[#This Row],[Health Level]]/10*Helper.HealthLevelWeight</f>
        <v>0.22500000000000001</v>
      </c>
      <c r="J28" s="48">
        <f>Database[[#This Row],[Responsiveness]]/10*Helper.ResponsivenessWeight</f>
        <v>2.5000000000000001E-2</v>
      </c>
      <c r="K28" s="48">
        <f>Database[[#This Row],[Financial Fairness]]/10*Helper.FinancialFairnessWeight</f>
        <v>2.5000000000000001E-2</v>
      </c>
      <c r="L28" s="48">
        <f>Database[[#This Row],[Health Distribution]]/10*Helper.HealthDistributionWeight</f>
        <v>2.5000000000000001E-2</v>
      </c>
      <c r="M28" s="48">
        <f>Database[[#This Row],[Responsiveness Distribution]]/10*Helper.ResponsivenessDistributionWeight</f>
        <v>1.2500000000000001E-2</v>
      </c>
      <c r="N28" s="39">
        <f>SUM(Database[[#This Row],[Health Level (weighted)]:[Responsiveness Distribution (weighted)]])*100</f>
        <v>31.250000000000007</v>
      </c>
      <c r="O28" s="49">
        <f>INDEX(Database[[#This Row],[Health Level (weighted)]:[Total]],Analysis.SortColumnId)+Database[[#This Row],[Country Id]]/10000</f>
        <v>2.6100000000000002E-2</v>
      </c>
    </row>
    <row r="29" spans="1:15" x14ac:dyDescent="0.25">
      <c r="A29">
        <v>52</v>
      </c>
      <c r="B29" t="s">
        <v>67</v>
      </c>
      <c r="C29">
        <v>0</v>
      </c>
      <c r="D29">
        <v>4</v>
      </c>
      <c r="E29">
        <v>5</v>
      </c>
      <c r="F29">
        <v>2</v>
      </c>
      <c r="G29">
        <v>3</v>
      </c>
      <c r="H29">
        <v>5</v>
      </c>
      <c r="I29" s="48">
        <f>Database[[#This Row],[Health Level]]/10*Helper.HealthLevelWeight</f>
        <v>0.1</v>
      </c>
      <c r="J29" s="48">
        <f>Database[[#This Row],[Responsiveness]]/10*Helper.ResponsivenessWeight</f>
        <v>6.25E-2</v>
      </c>
      <c r="K29" s="48">
        <f>Database[[#This Row],[Financial Fairness]]/10*Helper.FinancialFairnessWeight</f>
        <v>0.05</v>
      </c>
      <c r="L29" s="48">
        <f>Database[[#This Row],[Health Distribution]]/10*Helper.HealthDistributionWeight</f>
        <v>7.4999999999999997E-2</v>
      </c>
      <c r="M29" s="48">
        <f>Database[[#This Row],[Responsiveness Distribution]]/10*Helper.ResponsivenessDistributionWeight</f>
        <v>6.25E-2</v>
      </c>
      <c r="N29" s="39">
        <f>SUM(Database[[#This Row],[Health Level (weighted)]:[Responsiveness Distribution (weighted)]])*100</f>
        <v>35</v>
      </c>
      <c r="O29" s="49">
        <f>INDEX(Database[[#This Row],[Health Level (weighted)]:[Total]],Analysis.SortColumnId)+Database[[#This Row],[Country Id]]/10000</f>
        <v>6.7699999999999996E-2</v>
      </c>
    </row>
    <row r="30" spans="1:15" x14ac:dyDescent="0.25">
      <c r="A30">
        <v>1</v>
      </c>
      <c r="B30" t="s">
        <v>25</v>
      </c>
      <c r="C30" t="s">
        <v>14</v>
      </c>
      <c r="D30">
        <v>9</v>
      </c>
      <c r="E30">
        <v>1</v>
      </c>
      <c r="F30">
        <v>4</v>
      </c>
      <c r="G30">
        <v>9</v>
      </c>
      <c r="H30">
        <v>7</v>
      </c>
      <c r="I30" s="48">
        <f>Database[[#This Row],[Health Level]]/10*Helper.HealthLevelWeight</f>
        <v>0.22500000000000001</v>
      </c>
      <c r="J30" s="48">
        <f>Database[[#This Row],[Responsiveness]]/10*Helper.ResponsivenessWeight</f>
        <v>1.2500000000000001E-2</v>
      </c>
      <c r="K30" s="48">
        <f>Database[[#This Row],[Financial Fairness]]/10*Helper.FinancialFairnessWeight</f>
        <v>0.1</v>
      </c>
      <c r="L30" s="48">
        <f>Database[[#This Row],[Health Distribution]]/10*Helper.HealthDistributionWeight</f>
        <v>0.22500000000000001</v>
      </c>
      <c r="M30" s="48">
        <f>Database[[#This Row],[Responsiveness Distribution]]/10*Helper.ResponsivenessDistributionWeight</f>
        <v>8.7499999999999994E-2</v>
      </c>
      <c r="N30" s="39">
        <f>SUM(Database[[#This Row],[Health Level (weighted)]:[Responsiveness Distribution (weighted)]])*100</f>
        <v>65</v>
      </c>
      <c r="O30" s="49">
        <f>INDEX(Database[[#This Row],[Health Level (weighted)]:[Total]],Analysis.SortColumnId)+Database[[#This Row],[Country Id]]/10000</f>
        <v>1.26E-2</v>
      </c>
    </row>
    <row r="31" spans="1:15" x14ac:dyDescent="0.25">
      <c r="A31">
        <v>35</v>
      </c>
      <c r="B31" t="s">
        <v>54</v>
      </c>
      <c r="D31">
        <v>8</v>
      </c>
      <c r="E31">
        <v>3</v>
      </c>
      <c r="F31">
        <v>2</v>
      </c>
      <c r="G31">
        <v>5</v>
      </c>
      <c r="H31">
        <v>10</v>
      </c>
      <c r="I31" s="48">
        <f>Database[[#This Row],[Health Level]]/10*Helper.HealthLevelWeight</f>
        <v>0.2</v>
      </c>
      <c r="J31" s="48">
        <f>Database[[#This Row],[Responsiveness]]/10*Helper.ResponsivenessWeight</f>
        <v>3.7499999999999999E-2</v>
      </c>
      <c r="K31" s="48">
        <f>Database[[#This Row],[Financial Fairness]]/10*Helper.FinancialFairnessWeight</f>
        <v>0.05</v>
      </c>
      <c r="L31" s="48">
        <f>Database[[#This Row],[Health Distribution]]/10*Helper.HealthDistributionWeight</f>
        <v>0.125</v>
      </c>
      <c r="M31" s="48">
        <f>Database[[#This Row],[Responsiveness Distribution]]/10*Helper.ResponsivenessDistributionWeight</f>
        <v>0.125</v>
      </c>
      <c r="N31" s="39">
        <f>SUM(Database[[#This Row],[Health Level (weighted)]:[Responsiveness Distribution (weighted)]])*100</f>
        <v>53.750000000000007</v>
      </c>
      <c r="O31" s="49">
        <f>INDEX(Database[[#This Row],[Health Level (weighted)]:[Total]],Analysis.SortColumnId)+Database[[#This Row],[Country Id]]/10000</f>
        <v>4.1000000000000002E-2</v>
      </c>
    </row>
    <row r="32" spans="1:15" x14ac:dyDescent="0.25">
      <c r="A32">
        <v>32</v>
      </c>
      <c r="B32" t="s">
        <v>52</v>
      </c>
      <c r="D32">
        <v>1</v>
      </c>
      <c r="E32">
        <v>8</v>
      </c>
      <c r="F32">
        <v>5</v>
      </c>
      <c r="G32">
        <v>2</v>
      </c>
      <c r="H32">
        <v>10</v>
      </c>
      <c r="I32" s="48">
        <f>Database[[#This Row],[Health Level]]/10*Helper.HealthLevelWeight</f>
        <v>2.5000000000000001E-2</v>
      </c>
      <c r="J32" s="48">
        <f>Database[[#This Row],[Responsiveness]]/10*Helper.ResponsivenessWeight</f>
        <v>0.1</v>
      </c>
      <c r="K32" s="48">
        <f>Database[[#This Row],[Financial Fairness]]/10*Helper.FinancialFairnessWeight</f>
        <v>0.125</v>
      </c>
      <c r="L32" s="48">
        <f>Database[[#This Row],[Health Distribution]]/10*Helper.HealthDistributionWeight</f>
        <v>0.05</v>
      </c>
      <c r="M32" s="48">
        <f>Database[[#This Row],[Responsiveness Distribution]]/10*Helper.ResponsivenessDistributionWeight</f>
        <v>0.125</v>
      </c>
      <c r="N32" s="39">
        <f>SUM(Database[[#This Row],[Health Level (weighted)]:[Responsiveness Distribution (weighted)]])*100</f>
        <v>42.5</v>
      </c>
      <c r="O32" s="49">
        <f>INDEX(Database[[#This Row],[Health Level (weighted)]:[Total]],Analysis.SortColumnId)+Database[[#This Row],[Country Id]]/10000</f>
        <v>0.1032</v>
      </c>
    </row>
    <row r="33" spans="1:15" x14ac:dyDescent="0.25">
      <c r="A33">
        <v>14</v>
      </c>
      <c r="B33" t="s">
        <v>36</v>
      </c>
      <c r="D33">
        <v>4</v>
      </c>
      <c r="E33">
        <v>9</v>
      </c>
      <c r="F33">
        <v>4</v>
      </c>
      <c r="G33">
        <v>5</v>
      </c>
      <c r="H33">
        <v>1</v>
      </c>
      <c r="I33" s="48">
        <f>Database[[#This Row],[Health Level]]/10*Helper.HealthLevelWeight</f>
        <v>0.1</v>
      </c>
      <c r="J33" s="48">
        <f>Database[[#This Row],[Responsiveness]]/10*Helper.ResponsivenessWeight</f>
        <v>0.1125</v>
      </c>
      <c r="K33" s="48">
        <f>Database[[#This Row],[Financial Fairness]]/10*Helper.FinancialFairnessWeight</f>
        <v>0.1</v>
      </c>
      <c r="L33" s="48">
        <f>Database[[#This Row],[Health Distribution]]/10*Helper.HealthDistributionWeight</f>
        <v>0.125</v>
      </c>
      <c r="M33" s="48">
        <f>Database[[#This Row],[Responsiveness Distribution]]/10*Helper.ResponsivenessDistributionWeight</f>
        <v>1.2500000000000001E-2</v>
      </c>
      <c r="N33" s="39">
        <f>SUM(Database[[#This Row],[Health Level (weighted)]:[Responsiveness Distribution (weighted)]])*100</f>
        <v>45</v>
      </c>
      <c r="O33" s="49">
        <f>INDEX(Database[[#This Row],[Health Level (weighted)]:[Total]],Analysis.SortColumnId)+Database[[#This Row],[Country Id]]/10000</f>
        <v>0.1139</v>
      </c>
    </row>
    <row r="34" spans="1:15" x14ac:dyDescent="0.25">
      <c r="A34">
        <v>8</v>
      </c>
      <c r="B34" t="s">
        <v>30</v>
      </c>
      <c r="D34">
        <v>3</v>
      </c>
      <c r="E34">
        <v>6</v>
      </c>
      <c r="F34">
        <v>2</v>
      </c>
      <c r="G34">
        <v>1</v>
      </c>
      <c r="H34">
        <v>6</v>
      </c>
      <c r="I34" s="48">
        <f>Database[[#This Row],[Health Level]]/10*Helper.HealthLevelWeight</f>
        <v>7.4999999999999997E-2</v>
      </c>
      <c r="J34" s="48">
        <f>Database[[#This Row],[Responsiveness]]/10*Helper.ResponsivenessWeight</f>
        <v>7.4999999999999997E-2</v>
      </c>
      <c r="K34" s="48">
        <f>Database[[#This Row],[Financial Fairness]]/10*Helper.FinancialFairnessWeight</f>
        <v>0.05</v>
      </c>
      <c r="L34" s="48">
        <f>Database[[#This Row],[Health Distribution]]/10*Helper.HealthDistributionWeight</f>
        <v>2.5000000000000001E-2</v>
      </c>
      <c r="M34" s="48">
        <f>Database[[#This Row],[Responsiveness Distribution]]/10*Helper.ResponsivenessDistributionWeight</f>
        <v>7.4999999999999997E-2</v>
      </c>
      <c r="N34" s="39">
        <f>SUM(Database[[#This Row],[Health Level (weighted)]:[Responsiveness Distribution (weighted)]])*100</f>
        <v>30</v>
      </c>
      <c r="O34" s="49">
        <f>INDEX(Database[[#This Row],[Health Level (weighted)]:[Total]],Analysis.SortColumnId)+Database[[#This Row],[Country Id]]/10000</f>
        <v>7.5799999999999992E-2</v>
      </c>
    </row>
    <row r="35" spans="1:15" x14ac:dyDescent="0.25">
      <c r="A35">
        <v>10</v>
      </c>
      <c r="B35" t="s">
        <v>32</v>
      </c>
      <c r="D35">
        <v>10</v>
      </c>
      <c r="E35">
        <v>3</v>
      </c>
      <c r="F35">
        <v>6</v>
      </c>
      <c r="G35">
        <v>9</v>
      </c>
      <c r="H35">
        <v>2</v>
      </c>
      <c r="I35" s="48">
        <f>Database[[#This Row],[Health Level]]/10*Helper.HealthLevelWeight</f>
        <v>0.25</v>
      </c>
      <c r="J35" s="48">
        <f>Database[[#This Row],[Responsiveness]]/10*Helper.ResponsivenessWeight</f>
        <v>3.7499999999999999E-2</v>
      </c>
      <c r="K35" s="48">
        <f>Database[[#This Row],[Financial Fairness]]/10*Helper.FinancialFairnessWeight</f>
        <v>0.15</v>
      </c>
      <c r="L35" s="48">
        <f>Database[[#This Row],[Health Distribution]]/10*Helper.HealthDistributionWeight</f>
        <v>0.22500000000000001</v>
      </c>
      <c r="M35" s="48">
        <f>Database[[#This Row],[Responsiveness Distribution]]/10*Helper.ResponsivenessDistributionWeight</f>
        <v>2.5000000000000001E-2</v>
      </c>
      <c r="N35" s="39">
        <f>SUM(Database[[#This Row],[Health Level (weighted)]:[Responsiveness Distribution (weighted)]])*100</f>
        <v>68.75</v>
      </c>
      <c r="O35" s="49">
        <f>INDEX(Database[[#This Row],[Health Level (weighted)]:[Total]],Analysis.SortColumnId)+Database[[#This Row],[Country Id]]/10000</f>
        <v>3.85E-2</v>
      </c>
    </row>
    <row r="36" spans="1:15" x14ac:dyDescent="0.25">
      <c r="A36">
        <v>21</v>
      </c>
      <c r="B36" t="s">
        <v>41</v>
      </c>
      <c r="D36">
        <v>5</v>
      </c>
      <c r="E36">
        <v>3</v>
      </c>
      <c r="F36">
        <v>7</v>
      </c>
      <c r="G36">
        <v>2</v>
      </c>
      <c r="H36">
        <v>2</v>
      </c>
      <c r="I36" s="48">
        <f>Database[[#This Row],[Health Level]]/10*Helper.HealthLevelWeight</f>
        <v>0.125</v>
      </c>
      <c r="J36" s="48">
        <f>Database[[#This Row],[Responsiveness]]/10*Helper.ResponsivenessWeight</f>
        <v>3.7499999999999999E-2</v>
      </c>
      <c r="K36" s="48">
        <f>Database[[#This Row],[Financial Fairness]]/10*Helper.FinancialFairnessWeight</f>
        <v>0.17499999999999999</v>
      </c>
      <c r="L36" s="48">
        <f>Database[[#This Row],[Health Distribution]]/10*Helper.HealthDistributionWeight</f>
        <v>0.05</v>
      </c>
      <c r="M36" s="48">
        <f>Database[[#This Row],[Responsiveness Distribution]]/10*Helper.ResponsivenessDistributionWeight</f>
        <v>2.5000000000000001E-2</v>
      </c>
      <c r="N36" s="39">
        <f>SUM(Database[[#This Row],[Health Level (weighted)]:[Responsiveness Distribution (weighted)]])*100</f>
        <v>41.25</v>
      </c>
      <c r="O36" s="49">
        <f>INDEX(Database[[#This Row],[Health Level (weighted)]:[Total]],Analysis.SortColumnId)+Database[[#This Row],[Country Id]]/10000</f>
        <v>3.9599999999999996E-2</v>
      </c>
    </row>
    <row r="37" spans="1:15" x14ac:dyDescent="0.25">
      <c r="A37">
        <v>39</v>
      </c>
      <c r="B37" t="s">
        <v>58</v>
      </c>
      <c r="D37">
        <v>3</v>
      </c>
      <c r="E37">
        <v>1</v>
      </c>
      <c r="F37">
        <v>9</v>
      </c>
      <c r="G37">
        <v>4</v>
      </c>
      <c r="H37">
        <v>2</v>
      </c>
      <c r="I37" s="48">
        <f>Database[[#This Row],[Health Level]]/10*Helper.HealthLevelWeight</f>
        <v>7.4999999999999997E-2</v>
      </c>
      <c r="J37" s="48">
        <f>Database[[#This Row],[Responsiveness]]/10*Helper.ResponsivenessWeight</f>
        <v>1.2500000000000001E-2</v>
      </c>
      <c r="K37" s="48">
        <f>Database[[#This Row],[Financial Fairness]]/10*Helper.FinancialFairnessWeight</f>
        <v>0.22500000000000001</v>
      </c>
      <c r="L37" s="48">
        <f>Database[[#This Row],[Health Distribution]]/10*Helper.HealthDistributionWeight</f>
        <v>0.1</v>
      </c>
      <c r="M37" s="48">
        <f>Database[[#This Row],[Responsiveness Distribution]]/10*Helper.ResponsivenessDistributionWeight</f>
        <v>2.5000000000000001E-2</v>
      </c>
      <c r="N37" s="39">
        <f>SUM(Database[[#This Row],[Health Level (weighted)]:[Responsiveness Distribution (weighted)]])*100</f>
        <v>43.75</v>
      </c>
      <c r="O37" s="49">
        <f>INDEX(Database[[#This Row],[Health Level (weighted)]:[Total]],Analysis.SortColumnId)+Database[[#This Row],[Country Id]]/10000</f>
        <v>1.6400000000000001E-2</v>
      </c>
    </row>
    <row r="38" spans="1:15" x14ac:dyDescent="0.25">
      <c r="A38">
        <v>19</v>
      </c>
      <c r="B38" t="s">
        <v>39</v>
      </c>
      <c r="D38">
        <v>7</v>
      </c>
      <c r="E38">
        <v>7</v>
      </c>
      <c r="F38">
        <v>10</v>
      </c>
      <c r="G38">
        <v>7</v>
      </c>
      <c r="H38">
        <v>2</v>
      </c>
      <c r="I38" s="48">
        <f>Database[[#This Row],[Health Level]]/10*Helper.HealthLevelWeight</f>
        <v>0.17499999999999999</v>
      </c>
      <c r="J38" s="48">
        <f>Database[[#This Row],[Responsiveness]]/10*Helper.ResponsivenessWeight</f>
        <v>8.7499999999999994E-2</v>
      </c>
      <c r="K38" s="48">
        <f>Database[[#This Row],[Financial Fairness]]/10*Helper.FinancialFairnessWeight</f>
        <v>0.25</v>
      </c>
      <c r="L38" s="48">
        <f>Database[[#This Row],[Health Distribution]]/10*Helper.HealthDistributionWeight</f>
        <v>0.17499999999999999</v>
      </c>
      <c r="M38" s="48">
        <f>Database[[#This Row],[Responsiveness Distribution]]/10*Helper.ResponsivenessDistributionWeight</f>
        <v>2.5000000000000001E-2</v>
      </c>
      <c r="N38" s="39">
        <f>SUM(Database[[#This Row],[Health Level (weighted)]:[Responsiveness Distribution (weighted)]])*100</f>
        <v>71.25</v>
      </c>
      <c r="O38" s="49">
        <f>INDEX(Database[[#This Row],[Health Level (weighted)]:[Total]],Analysis.SortColumnId)+Database[[#This Row],[Country Id]]/10000</f>
        <v>8.9399999999999993E-2</v>
      </c>
    </row>
    <row r="39" spans="1:15" x14ac:dyDescent="0.25">
      <c r="A39">
        <v>41</v>
      </c>
      <c r="B39" t="s">
        <v>59</v>
      </c>
      <c r="D39">
        <v>1</v>
      </c>
      <c r="E39">
        <v>3</v>
      </c>
      <c r="F39">
        <v>7</v>
      </c>
      <c r="G39">
        <v>6</v>
      </c>
      <c r="H39">
        <v>6</v>
      </c>
      <c r="I39" s="48">
        <f>Database[[#This Row],[Health Level]]/10*Helper.HealthLevelWeight</f>
        <v>2.5000000000000001E-2</v>
      </c>
      <c r="J39" s="48">
        <f>Database[[#This Row],[Responsiveness]]/10*Helper.ResponsivenessWeight</f>
        <v>3.7499999999999999E-2</v>
      </c>
      <c r="K39" s="48">
        <f>Database[[#This Row],[Financial Fairness]]/10*Helper.FinancialFairnessWeight</f>
        <v>0.17499999999999999</v>
      </c>
      <c r="L39" s="48">
        <f>Database[[#This Row],[Health Distribution]]/10*Helper.HealthDistributionWeight</f>
        <v>0.15</v>
      </c>
      <c r="M39" s="48">
        <f>Database[[#This Row],[Responsiveness Distribution]]/10*Helper.ResponsivenessDistributionWeight</f>
        <v>7.4999999999999997E-2</v>
      </c>
      <c r="N39" s="39">
        <f>SUM(Database[[#This Row],[Health Level (weighted)]:[Responsiveness Distribution (weighted)]])*100</f>
        <v>46.25</v>
      </c>
      <c r="O39" s="49">
        <f>INDEX(Database[[#This Row],[Health Level (weighted)]:[Total]],Analysis.SortColumnId)+Database[[#This Row],[Country Id]]/10000</f>
        <v>4.1599999999999998E-2</v>
      </c>
    </row>
    <row r="40" spans="1:15" x14ac:dyDescent="0.25">
      <c r="A40">
        <v>31</v>
      </c>
      <c r="B40" t="s">
        <v>51</v>
      </c>
      <c r="D40">
        <v>2</v>
      </c>
      <c r="E40">
        <v>3</v>
      </c>
      <c r="F40">
        <v>7</v>
      </c>
      <c r="G40">
        <v>7</v>
      </c>
      <c r="H40">
        <v>6</v>
      </c>
      <c r="I40" s="48">
        <f>Database[[#This Row],[Health Level]]/10*Helper.HealthLevelWeight</f>
        <v>0.05</v>
      </c>
      <c r="J40" s="48">
        <f>Database[[#This Row],[Responsiveness]]/10*Helper.ResponsivenessWeight</f>
        <v>3.7499999999999999E-2</v>
      </c>
      <c r="K40" s="48">
        <f>Database[[#This Row],[Financial Fairness]]/10*Helper.FinancialFairnessWeight</f>
        <v>0.17499999999999999</v>
      </c>
      <c r="L40" s="48">
        <f>Database[[#This Row],[Health Distribution]]/10*Helper.HealthDistributionWeight</f>
        <v>0.17499999999999999</v>
      </c>
      <c r="M40" s="48">
        <f>Database[[#This Row],[Responsiveness Distribution]]/10*Helper.ResponsivenessDistributionWeight</f>
        <v>7.4999999999999997E-2</v>
      </c>
      <c r="N40" s="39">
        <f>SUM(Database[[#This Row],[Health Level (weighted)]:[Responsiveness Distribution (weighted)]])*100</f>
        <v>51.249999999999993</v>
      </c>
      <c r="O40" s="49">
        <f>INDEX(Database[[#This Row],[Health Level (weighted)]:[Total]],Analysis.SortColumnId)+Database[[#This Row],[Country Id]]/10000</f>
        <v>4.0599999999999997E-2</v>
      </c>
    </row>
    <row r="41" spans="1:15" x14ac:dyDescent="0.25">
      <c r="A41">
        <v>7</v>
      </c>
      <c r="B41" t="s">
        <v>29</v>
      </c>
      <c r="D41">
        <v>4</v>
      </c>
      <c r="E41">
        <v>8</v>
      </c>
      <c r="F41">
        <v>3</v>
      </c>
      <c r="G41">
        <v>1</v>
      </c>
      <c r="H41">
        <v>9</v>
      </c>
      <c r="I41" s="48">
        <f>Database[[#This Row],[Health Level]]/10*Helper.HealthLevelWeight</f>
        <v>0.1</v>
      </c>
      <c r="J41" s="48">
        <f>Database[[#This Row],[Responsiveness]]/10*Helper.ResponsivenessWeight</f>
        <v>0.1</v>
      </c>
      <c r="K41" s="48">
        <f>Database[[#This Row],[Financial Fairness]]/10*Helper.FinancialFairnessWeight</f>
        <v>7.4999999999999997E-2</v>
      </c>
      <c r="L41" s="48">
        <f>Database[[#This Row],[Health Distribution]]/10*Helper.HealthDistributionWeight</f>
        <v>2.5000000000000001E-2</v>
      </c>
      <c r="M41" s="48">
        <f>Database[[#This Row],[Responsiveness Distribution]]/10*Helper.ResponsivenessDistributionWeight</f>
        <v>0.1125</v>
      </c>
      <c r="N41" s="39">
        <f>SUM(Database[[#This Row],[Health Level (weighted)]:[Responsiveness Distribution (weighted)]])*100</f>
        <v>41.25</v>
      </c>
      <c r="O41" s="49">
        <f>INDEX(Database[[#This Row],[Health Level (weighted)]:[Total]],Analysis.SortColumnId)+Database[[#This Row],[Country Id]]/10000</f>
        <v>0.10070000000000001</v>
      </c>
    </row>
    <row r="42" spans="1:15" x14ac:dyDescent="0.25">
      <c r="A42">
        <v>23</v>
      </c>
      <c r="B42" t="s">
        <v>43</v>
      </c>
      <c r="D42">
        <v>4</v>
      </c>
      <c r="E42">
        <v>7</v>
      </c>
      <c r="F42">
        <v>1</v>
      </c>
      <c r="G42">
        <v>1</v>
      </c>
      <c r="H42">
        <v>3</v>
      </c>
      <c r="I42" s="48">
        <f>Database[[#This Row],[Health Level]]/10*Helper.HealthLevelWeight</f>
        <v>0.1</v>
      </c>
      <c r="J42" s="48">
        <f>Database[[#This Row],[Responsiveness]]/10*Helper.ResponsivenessWeight</f>
        <v>8.7499999999999994E-2</v>
      </c>
      <c r="K42" s="48">
        <f>Database[[#This Row],[Financial Fairness]]/10*Helper.FinancialFairnessWeight</f>
        <v>2.5000000000000001E-2</v>
      </c>
      <c r="L42" s="48">
        <f>Database[[#This Row],[Health Distribution]]/10*Helper.HealthDistributionWeight</f>
        <v>2.5000000000000001E-2</v>
      </c>
      <c r="M42" s="48">
        <f>Database[[#This Row],[Responsiveness Distribution]]/10*Helper.ResponsivenessDistributionWeight</f>
        <v>3.7499999999999999E-2</v>
      </c>
      <c r="N42" s="39">
        <f>SUM(Database[[#This Row],[Health Level (weighted)]:[Responsiveness Distribution (weighted)]])*100</f>
        <v>27.499999999999996</v>
      </c>
      <c r="O42" s="49">
        <f>INDEX(Database[[#This Row],[Health Level (weighted)]:[Total]],Analysis.SortColumnId)+Database[[#This Row],[Country Id]]/10000</f>
        <v>8.9799999999999991E-2</v>
      </c>
    </row>
    <row r="43" spans="1:15" x14ac:dyDescent="0.25">
      <c r="A43">
        <v>29</v>
      </c>
      <c r="B43" t="s">
        <v>49</v>
      </c>
      <c r="D43">
        <v>1</v>
      </c>
      <c r="E43">
        <v>4</v>
      </c>
      <c r="F43">
        <v>9</v>
      </c>
      <c r="G43">
        <v>9</v>
      </c>
      <c r="H43">
        <v>4</v>
      </c>
      <c r="I43" s="48">
        <f>Database[[#This Row],[Health Level]]/10*Helper.HealthLevelWeight</f>
        <v>2.5000000000000001E-2</v>
      </c>
      <c r="J43" s="48">
        <f>Database[[#This Row],[Responsiveness]]/10*Helper.ResponsivenessWeight</f>
        <v>0.05</v>
      </c>
      <c r="K43" s="48">
        <f>Database[[#This Row],[Financial Fairness]]/10*Helper.FinancialFairnessWeight</f>
        <v>0.22500000000000001</v>
      </c>
      <c r="L43" s="48">
        <f>Database[[#This Row],[Health Distribution]]/10*Helper.HealthDistributionWeight</f>
        <v>0.22500000000000001</v>
      </c>
      <c r="M43" s="48">
        <f>Database[[#This Row],[Responsiveness Distribution]]/10*Helper.ResponsivenessDistributionWeight</f>
        <v>0.05</v>
      </c>
      <c r="N43" s="39">
        <f>SUM(Database[[#This Row],[Health Level (weighted)]:[Responsiveness Distribution (weighted)]])*100</f>
        <v>57.500000000000007</v>
      </c>
      <c r="O43" s="49">
        <f>INDEX(Database[[#This Row],[Health Level (weighted)]:[Total]],Analysis.SortColumnId)+Database[[#This Row],[Country Id]]/10000</f>
        <v>5.2900000000000003E-2</v>
      </c>
    </row>
    <row r="44" spans="1:15" x14ac:dyDescent="0.25">
      <c r="A44">
        <v>3</v>
      </c>
      <c r="B44" t="s">
        <v>27</v>
      </c>
      <c r="C44" t="s">
        <v>20</v>
      </c>
      <c r="D44">
        <v>4</v>
      </c>
      <c r="E44">
        <v>3</v>
      </c>
      <c r="F44">
        <v>10</v>
      </c>
      <c r="G44">
        <v>7</v>
      </c>
      <c r="H44">
        <v>5</v>
      </c>
      <c r="I44" s="48">
        <f>Database[[#This Row],[Health Level]]/10*Helper.HealthLevelWeight</f>
        <v>0.1</v>
      </c>
      <c r="J44" s="48">
        <f>Database[[#This Row],[Responsiveness]]/10*Helper.ResponsivenessWeight</f>
        <v>3.7499999999999999E-2</v>
      </c>
      <c r="K44" s="48">
        <f>Database[[#This Row],[Financial Fairness]]/10*Helper.FinancialFairnessWeight</f>
        <v>0.25</v>
      </c>
      <c r="L44" s="48">
        <f>Database[[#This Row],[Health Distribution]]/10*Helper.HealthDistributionWeight</f>
        <v>0.17499999999999999</v>
      </c>
      <c r="M44" s="48">
        <f>Database[[#This Row],[Responsiveness Distribution]]/10*Helper.ResponsivenessDistributionWeight</f>
        <v>6.25E-2</v>
      </c>
      <c r="N44" s="39">
        <f>SUM(Database[[#This Row],[Health Level (weighted)]:[Responsiveness Distribution (weighted)]])*100</f>
        <v>62.5</v>
      </c>
      <c r="O44" s="49">
        <f>INDEX(Database[[#This Row],[Health Level (weighted)]:[Total]],Analysis.SortColumnId)+Database[[#This Row],[Country Id]]/10000</f>
        <v>3.78E-2</v>
      </c>
    </row>
    <row r="45" spans="1:15" x14ac:dyDescent="0.25">
      <c r="A45">
        <v>13</v>
      </c>
      <c r="B45" t="s">
        <v>35</v>
      </c>
      <c r="D45">
        <v>7</v>
      </c>
      <c r="E45">
        <v>5</v>
      </c>
      <c r="F45">
        <v>3</v>
      </c>
      <c r="G45">
        <v>10</v>
      </c>
      <c r="H45">
        <v>7</v>
      </c>
      <c r="I45" s="48">
        <f>Database[[#This Row],[Health Level]]/10*Helper.HealthLevelWeight</f>
        <v>0.17499999999999999</v>
      </c>
      <c r="J45" s="48">
        <f>Database[[#This Row],[Responsiveness]]/10*Helper.ResponsivenessWeight</f>
        <v>6.25E-2</v>
      </c>
      <c r="K45" s="48">
        <f>Database[[#This Row],[Financial Fairness]]/10*Helper.FinancialFairnessWeight</f>
        <v>7.4999999999999997E-2</v>
      </c>
      <c r="L45" s="48">
        <f>Database[[#This Row],[Health Distribution]]/10*Helper.HealthDistributionWeight</f>
        <v>0.25</v>
      </c>
      <c r="M45" s="48">
        <f>Database[[#This Row],[Responsiveness Distribution]]/10*Helper.ResponsivenessDistributionWeight</f>
        <v>8.7499999999999994E-2</v>
      </c>
      <c r="N45" s="39">
        <f>SUM(Database[[#This Row],[Health Level (weighted)]:[Responsiveness Distribution (weighted)]])*100</f>
        <v>65</v>
      </c>
      <c r="O45" s="49">
        <f>INDEX(Database[[#This Row],[Health Level (weighted)]:[Total]],Analysis.SortColumnId)+Database[[#This Row],[Country Id]]/10000</f>
        <v>6.3799999999999996E-2</v>
      </c>
    </row>
    <row r="46" spans="1:15" x14ac:dyDescent="0.25">
      <c r="A46">
        <v>51</v>
      </c>
      <c r="B46" t="s">
        <v>65</v>
      </c>
      <c r="C46">
        <v>0</v>
      </c>
      <c r="D46">
        <v>2</v>
      </c>
      <c r="E46">
        <v>3</v>
      </c>
      <c r="F46">
        <v>4</v>
      </c>
      <c r="G46">
        <v>5</v>
      </c>
      <c r="H46">
        <v>6</v>
      </c>
      <c r="I46" s="48">
        <f>Database[[#This Row],[Health Level]]/10*Helper.HealthLevelWeight</f>
        <v>0.05</v>
      </c>
      <c r="J46" s="48">
        <f>Database[[#This Row],[Responsiveness]]/10*Helper.ResponsivenessWeight</f>
        <v>3.7499999999999999E-2</v>
      </c>
      <c r="K46" s="48">
        <f>Database[[#This Row],[Financial Fairness]]/10*Helper.FinancialFairnessWeight</f>
        <v>0.1</v>
      </c>
      <c r="L46" s="48">
        <f>Database[[#This Row],[Health Distribution]]/10*Helper.HealthDistributionWeight</f>
        <v>0.125</v>
      </c>
      <c r="M46" s="48">
        <f>Database[[#This Row],[Responsiveness Distribution]]/10*Helper.ResponsivenessDistributionWeight</f>
        <v>7.4999999999999997E-2</v>
      </c>
      <c r="N46" s="39">
        <f>SUM(Database[[#This Row],[Health Level (weighted)]:[Responsiveness Distribution (weighted)]])*100</f>
        <v>38.75</v>
      </c>
      <c r="O46" s="49">
        <f>INDEX(Database[[#This Row],[Health Level (weighted)]:[Total]],Analysis.SortColumnId)+Database[[#This Row],[Country Id]]/10000</f>
        <v>4.2599999999999999E-2</v>
      </c>
    </row>
    <row r="47" spans="1:15" x14ac:dyDescent="0.25">
      <c r="A47">
        <v>26</v>
      </c>
      <c r="B47" t="s">
        <v>46</v>
      </c>
      <c r="D47">
        <v>7</v>
      </c>
      <c r="E47">
        <v>4</v>
      </c>
      <c r="F47">
        <v>5</v>
      </c>
      <c r="G47">
        <v>6</v>
      </c>
      <c r="H47">
        <v>3</v>
      </c>
      <c r="I47" s="48">
        <f>Database[[#This Row],[Health Level]]/10*Helper.HealthLevelWeight</f>
        <v>0.17499999999999999</v>
      </c>
      <c r="J47" s="48">
        <f>Database[[#This Row],[Responsiveness]]/10*Helper.ResponsivenessWeight</f>
        <v>0.05</v>
      </c>
      <c r="K47" s="48">
        <f>Database[[#This Row],[Financial Fairness]]/10*Helper.FinancialFairnessWeight</f>
        <v>0.125</v>
      </c>
      <c r="L47" s="48">
        <f>Database[[#This Row],[Health Distribution]]/10*Helper.HealthDistributionWeight</f>
        <v>0.15</v>
      </c>
      <c r="M47" s="48">
        <f>Database[[#This Row],[Responsiveness Distribution]]/10*Helper.ResponsivenessDistributionWeight</f>
        <v>3.7499999999999999E-2</v>
      </c>
      <c r="N47" s="39">
        <f>SUM(Database[[#This Row],[Health Level (weighted)]:[Responsiveness Distribution (weighted)]])*100</f>
        <v>53.75</v>
      </c>
      <c r="O47" s="49">
        <f>INDEX(Database[[#This Row],[Health Level (weighted)]:[Total]],Analysis.SortColumnId)+Database[[#This Row],[Country Id]]/10000</f>
        <v>5.2600000000000001E-2</v>
      </c>
    </row>
  </sheetData>
  <mergeCells count="1">
    <mergeCell ref="I6:M6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sis"/>
  <dimension ref="A2:O54"/>
  <sheetViews>
    <sheetView showGridLines="0" workbookViewId="0">
      <selection activeCell="G2" sqref="G2:I2"/>
    </sheetView>
  </sheetViews>
  <sheetFormatPr defaultColWidth="0" defaultRowHeight="15" x14ac:dyDescent="0.25"/>
  <cols>
    <col min="1" max="1" width="6" customWidth="1"/>
    <col min="2" max="2" width="13.85546875" customWidth="1"/>
    <col min="3" max="3" width="6.42578125" customWidth="1"/>
    <col min="4" max="4" width="15.140625" customWidth="1"/>
    <col min="5" max="5" width="15.7109375" customWidth="1"/>
    <col min="6" max="6" width="2.42578125" customWidth="1"/>
    <col min="7" max="7" width="15.7109375" customWidth="1"/>
    <col min="8" max="8" width="2.42578125" customWidth="1"/>
    <col min="9" max="9" width="15.7109375" customWidth="1"/>
    <col min="10" max="10" width="2.42578125" customWidth="1"/>
    <col min="11" max="11" width="15.7109375" customWidth="1"/>
    <col min="12" max="12" width="2.42578125" customWidth="1"/>
    <col min="13" max="13" width="15.7109375" customWidth="1"/>
    <col min="14" max="14" width="2.42578125" customWidth="1"/>
    <col min="15" max="15" width="6.28515625" customWidth="1"/>
    <col min="16" max="16384" width="9.140625" hidden="1"/>
  </cols>
  <sheetData>
    <row r="2" spans="1:14" ht="16.5" x14ac:dyDescent="0.3">
      <c r="E2" s="86" t="s">
        <v>92</v>
      </c>
      <c r="F2" s="67"/>
      <c r="G2" s="138" t="s">
        <v>11</v>
      </c>
      <c r="H2" s="139"/>
      <c r="I2" s="140"/>
    </row>
    <row r="3" spans="1:14" ht="33" customHeight="1" x14ac:dyDescent="0.25">
      <c r="E3" s="65" t="str">
        <f>E33 &amp; " " &amp; REPT(_xlfn.UNICHAR(9660),E54)</f>
        <v xml:space="preserve">Health Level </v>
      </c>
      <c r="F3" s="66"/>
      <c r="G3" s="65" t="str">
        <f>G33 &amp; " " &amp; REPT(_xlfn.UNICHAR(9660),G54)</f>
        <v>Responsiveness ▼</v>
      </c>
      <c r="H3" s="66"/>
      <c r="I3" s="65" t="str">
        <f>I33 &amp; " " &amp; REPT(_xlfn.UNICHAR(9660),I54)</f>
        <v xml:space="preserve">Financial Fairness </v>
      </c>
      <c r="J3" s="66"/>
      <c r="K3" s="65" t="str">
        <f>K33 &amp; " " &amp; REPT(_xlfn.UNICHAR(9660),K54)</f>
        <v xml:space="preserve">Health Distribution </v>
      </c>
      <c r="L3" s="66"/>
      <c r="M3" s="65" t="str">
        <f>M33 &amp; " " &amp; REPT(_xlfn.UNICHAR(9660),M54)</f>
        <v xml:space="preserve">Responsiveness Distribution </v>
      </c>
    </row>
    <row r="4" spans="1:14" ht="47.25" customHeight="1" x14ac:dyDescent="0.25">
      <c r="B4" s="143" t="str">
        <f>"Results " &amp;A6&amp;"-"&amp;A25 &amp; " of " &amp;Database.RecordCount</f>
        <v>Results 19-38 of 39</v>
      </c>
      <c r="C4" s="143"/>
      <c r="D4" s="141" t="str">
        <f>O33&amp;" "&amp;REPT(_xlfn.UNICHAR(9660),O54)</f>
        <v xml:space="preserve">Total </v>
      </c>
      <c r="E4" s="59">
        <f>Helper.HealthLevelWeight</f>
        <v>0.25</v>
      </c>
      <c r="F4" s="58"/>
      <c r="G4" s="60">
        <f>Helper.ResponsivenessWeight</f>
        <v>0.125</v>
      </c>
      <c r="H4" s="61"/>
      <c r="I4" s="60">
        <f>Helper.FinancialFairnessWeight</f>
        <v>0.25</v>
      </c>
      <c r="J4" s="61"/>
      <c r="K4" s="60">
        <f>Helper.HealthDistributionWeight</f>
        <v>0.25</v>
      </c>
      <c r="L4" s="61"/>
      <c r="M4" s="60">
        <f>Helper.ResponsivenessDistributionWeight</f>
        <v>0.125</v>
      </c>
      <c r="N4" s="47"/>
    </row>
    <row r="5" spans="1:14" ht="4.5" customHeight="1" x14ac:dyDescent="0.25">
      <c r="A5" s="27"/>
      <c r="B5" s="144"/>
      <c r="C5" s="144"/>
      <c r="D5" s="142"/>
      <c r="E5" s="52" t="str">
        <f>REPT("|",$E$4*100)</f>
        <v>|||||||||||||||||||||||||</v>
      </c>
      <c r="F5" s="50"/>
      <c r="G5" s="53" t="str">
        <f>REPT("|",$G$4*100)</f>
        <v>||||||||||||</v>
      </c>
      <c r="H5" s="50"/>
      <c r="I5" s="54" t="str">
        <f>REPT("|",$I$4*100)</f>
        <v>|||||||||||||||||||||||||</v>
      </c>
      <c r="J5" s="50"/>
      <c r="K5" s="55" t="str">
        <f>REPT("|",$K$4*100)</f>
        <v>|||||||||||||||||||||||||</v>
      </c>
      <c r="L5" s="50"/>
      <c r="M5" s="56" t="str">
        <f>REPT("|",$M$4*100)</f>
        <v>||||||||||||</v>
      </c>
      <c r="N5" s="27"/>
    </row>
    <row r="6" spans="1:14" ht="12.95" customHeight="1" x14ac:dyDescent="0.25">
      <c r="A6" s="57">
        <f t="shared" ref="A6:A25" si="0">A34</f>
        <v>19</v>
      </c>
      <c r="B6" s="68" t="str">
        <f>D34</f>
        <v>Heiestan</v>
      </c>
      <c r="C6" s="69" t="str">
        <f t="shared" ref="C6:C20" si="1" xml:space="preserve"> " ("&amp;TEXT(O34,"#.0")&amp;")"</f>
        <v xml:space="preserve"> (81.3)</v>
      </c>
      <c r="D6" s="70" t="str">
        <f t="shared" ref="D6:D20" si="2">IFERROR(REPT("|",O34),"")</f>
        <v>|||||||||||||||||||||||||||||||||||||||||||||||||||||||||||||||||||||||||||||||||</v>
      </c>
      <c r="E6" s="71" t="str">
        <f t="shared" ref="E6:E20" si="3">IFERROR(REPT("|",E34),"")</f>
        <v>||||||||||||||||||||||||||||||||||||||||||||||||||||||||||||||||||||||</v>
      </c>
      <c r="F6" s="72"/>
      <c r="G6" s="73" t="str">
        <f t="shared" ref="G6:G20" si="4">IFERROR(REPT("|",G34),"")</f>
        <v>||||||||||||||||||||||||||||||||||||||||||||||||||</v>
      </c>
      <c r="H6" s="72"/>
      <c r="I6" s="74" t="str">
        <f t="shared" ref="I6:I20" si="5">IFERROR(REPT("|",I34),"")</f>
        <v>||||||||||||||||||||||||||||||||||||||||||||||||||||||||||||||||||||||||||||||||</v>
      </c>
      <c r="J6" s="72"/>
      <c r="K6" s="75" t="str">
        <f t="shared" ref="K6:K20" si="6">IFERROR(REPT("|",K34),"")</f>
        <v>||||||||||||||||||||||||||||||||||||||||||||||||||||||||||||||||||||||||||||||||||||||||||||||||||||</v>
      </c>
      <c r="L6" s="72"/>
      <c r="M6" s="76" t="str">
        <f t="shared" ref="M6:M20" si="7">IFERROR(REPT("|",M34),"")</f>
        <v>||||||||||||||||||||||||||||||||||||||||||||||||||||||||||||||||||||||||||||||||||||||||||||||||||||</v>
      </c>
    </row>
    <row r="7" spans="1:14" ht="12.95" customHeight="1" x14ac:dyDescent="0.25">
      <c r="A7" s="51">
        <f t="shared" si="0"/>
        <v>20</v>
      </c>
      <c r="B7" s="77" t="str">
        <f t="shared" ref="B7:B10" si="8">D35</f>
        <v>Sodal</v>
      </c>
      <c r="C7" s="78" t="str">
        <f t="shared" si="1"/>
        <v xml:space="preserve"> (65.0)</v>
      </c>
      <c r="D7" s="79" t="str">
        <f t="shared" si="2"/>
        <v>|||||||||||||||||||||||||||||||||||||||||||||||||||||||||||||||||</v>
      </c>
      <c r="E7" s="71" t="str">
        <f t="shared" si="3"/>
        <v>||||||||||||||||||||||||||||||||||||||||||||||||||||||||||||||||||||||</v>
      </c>
      <c r="F7" s="72"/>
      <c r="G7" s="73" t="str">
        <f t="shared" si="4"/>
        <v>||||||||||||||||||||||||||||||||||||||||||||||||||</v>
      </c>
      <c r="H7" s="72"/>
      <c r="I7" s="74" t="str">
        <f t="shared" si="5"/>
        <v>||||||||||||||||||||||||||||||</v>
      </c>
      <c r="J7" s="72"/>
      <c r="K7" s="75" t="str">
        <f t="shared" si="6"/>
        <v>||||||||||||||||||||||||||||||||||||||||||||||||||||||||||||||||||||||||||||||||||||||||||||||||||||</v>
      </c>
      <c r="L7" s="72"/>
      <c r="M7" s="76" t="str">
        <f t="shared" si="7"/>
        <v>||||||||||||||||||||||||||||||||||||||||||||||||||||||||||||||||||||||</v>
      </c>
    </row>
    <row r="8" spans="1:14" ht="12.95" customHeight="1" x14ac:dyDescent="0.25">
      <c r="A8" s="51">
        <f t="shared" si="0"/>
        <v>21</v>
      </c>
      <c r="B8" s="77" t="str">
        <f t="shared" si="8"/>
        <v>Seoceudan</v>
      </c>
      <c r="C8" s="78" t="str">
        <f t="shared" si="1"/>
        <v xml:space="preserve"> (57.5)</v>
      </c>
      <c r="D8" s="79" t="str">
        <f t="shared" si="2"/>
        <v>|||||||||||||||||||||||||||||||||||||||||||||||||||||||||</v>
      </c>
      <c r="E8" s="71" t="str">
        <f t="shared" si="3"/>
        <v>||||||||||</v>
      </c>
      <c r="F8" s="72"/>
      <c r="G8" s="73" t="str">
        <f t="shared" si="4"/>
        <v>||||||||||||||||||||||||||||||||||||||||</v>
      </c>
      <c r="H8" s="72"/>
      <c r="I8" s="74" t="str">
        <f t="shared" si="5"/>
        <v>||||||||||||||||||||||||||||||||||||||||||||||||||||||||||||||||||||||||||||||||||||||||||</v>
      </c>
      <c r="J8" s="72"/>
      <c r="K8" s="75" t="str">
        <f t="shared" si="6"/>
        <v>||||||||||||||||||||||||||||||||||||||||||||||||||||||||||||||||||||||||||||||||||||||||||</v>
      </c>
      <c r="L8" s="72"/>
      <c r="M8" s="76" t="str">
        <f t="shared" si="7"/>
        <v>||||||||||||||||||||||||||||||||||||||||</v>
      </c>
    </row>
    <row r="9" spans="1:14" ht="12.95" customHeight="1" x14ac:dyDescent="0.25">
      <c r="A9" s="51">
        <f t="shared" si="0"/>
        <v>22</v>
      </c>
      <c r="B9" s="77" t="str">
        <f t="shared" si="8"/>
        <v>Urwhary</v>
      </c>
      <c r="C9" s="78" t="str">
        <f t="shared" si="1"/>
        <v xml:space="preserve"> (53.8)</v>
      </c>
      <c r="D9" s="79" t="str">
        <f t="shared" si="2"/>
        <v>|||||||||||||||||||||||||||||||||||||||||||||||||||||</v>
      </c>
      <c r="E9" s="71" t="str">
        <f t="shared" si="3"/>
        <v>||||||||||||||||||||||||||||||||||||||||||||||||||||||||||||||||||||||</v>
      </c>
      <c r="F9" s="72"/>
      <c r="G9" s="73" t="str">
        <f t="shared" si="4"/>
        <v>||||||||||||||||||||||||||||||||||||||||</v>
      </c>
      <c r="H9" s="72"/>
      <c r="I9" s="74" t="str">
        <f t="shared" si="5"/>
        <v>||||||||||||||||||||||||||||||||||||||||||||||||||</v>
      </c>
      <c r="J9" s="72"/>
      <c r="K9" s="75" t="str">
        <f t="shared" si="6"/>
        <v>||||||||||||||||||||||||||||||||||||||||||||||||||||||||||||</v>
      </c>
      <c r="L9" s="72"/>
      <c r="M9" s="76" t="str">
        <f t="shared" si="7"/>
        <v>||||||||||||||||||||||||||||||</v>
      </c>
    </row>
    <row r="10" spans="1:14" ht="12.75" customHeight="1" x14ac:dyDescent="0.25">
      <c r="A10" s="51">
        <f t="shared" si="0"/>
        <v>23</v>
      </c>
      <c r="B10" s="77" t="str">
        <f t="shared" si="8"/>
        <v>Stansblink</v>
      </c>
      <c r="C10" s="78" t="str">
        <f t="shared" si="1"/>
        <v xml:space="preserve"> (38.8)</v>
      </c>
      <c r="D10" s="79" t="str">
        <f t="shared" si="2"/>
        <v>||||||||||||||||||||||||||||||||||||||</v>
      </c>
      <c r="E10" s="71" t="str">
        <f t="shared" si="3"/>
        <v>||||||||||||||||||||</v>
      </c>
      <c r="F10" s="72"/>
      <c r="G10" s="73" t="str">
        <f t="shared" si="4"/>
        <v>||||||||||||||||||||||||||||||</v>
      </c>
      <c r="H10" s="72"/>
      <c r="I10" s="74" t="str">
        <f t="shared" si="5"/>
        <v>||||||||||||||||||||||||||||||||||||||||</v>
      </c>
      <c r="J10" s="72"/>
      <c r="K10" s="75" t="str">
        <f t="shared" si="6"/>
        <v>||||||||||||||||||||||||||||||||||||||||||||||||||</v>
      </c>
      <c r="L10" s="72"/>
      <c r="M10" s="76" t="str">
        <f t="shared" si="7"/>
        <v>||||||||||||||||||||||||||||||||||||||||||||||||||||||||||||</v>
      </c>
    </row>
    <row r="11" spans="1:14" ht="12.95" customHeight="1" x14ac:dyDescent="0.25">
      <c r="A11" s="51">
        <f t="shared" si="0"/>
        <v>24</v>
      </c>
      <c r="B11" s="77" t="str">
        <f>D39</f>
        <v>Pustein</v>
      </c>
      <c r="C11" s="78" t="str">
        <f t="shared" si="1"/>
        <v xml:space="preserve"> (46.3)</v>
      </c>
      <c r="D11" s="79" t="str">
        <f t="shared" si="2"/>
        <v>||||||||||||||||||||||||||||||||||||||||||||||</v>
      </c>
      <c r="E11" s="71" t="str">
        <f t="shared" si="3"/>
        <v>||||||||||</v>
      </c>
      <c r="F11" s="72"/>
      <c r="G11" s="73" t="str">
        <f t="shared" si="4"/>
        <v>||||||||||||||||||||||||||||||</v>
      </c>
      <c r="H11" s="72"/>
      <c r="I11" s="74" t="str">
        <f t="shared" si="5"/>
        <v>||||||||||||||||||||||||||||||||||||||||||||||||||||||||||||||||||||||</v>
      </c>
      <c r="J11" s="72"/>
      <c r="K11" s="75" t="str">
        <f t="shared" si="6"/>
        <v>||||||||||||||||||||||||||||||||||||||||||||||||||||||||||||</v>
      </c>
      <c r="L11" s="72"/>
      <c r="M11" s="76" t="str">
        <f t="shared" si="7"/>
        <v>||||||||||||||||||||||||||||||||||||||||||||||||||||||||||||</v>
      </c>
    </row>
    <row r="12" spans="1:14" ht="12.95" customHeight="1" x14ac:dyDescent="0.25">
      <c r="A12" s="51">
        <f t="shared" si="0"/>
        <v>25</v>
      </c>
      <c r="B12" s="77" t="str">
        <f t="shared" ref="B12:B15" si="9">D40</f>
        <v>Neiestein</v>
      </c>
      <c r="C12" s="78" t="str">
        <f t="shared" si="1"/>
        <v xml:space="preserve"> (53.8)</v>
      </c>
      <c r="D12" s="79" t="str">
        <f t="shared" si="2"/>
        <v>|||||||||||||||||||||||||||||||||||||||||||||||||||||</v>
      </c>
      <c r="E12" s="71" t="str">
        <f t="shared" si="3"/>
        <v>||||||||||||||||||||||||||||||||||||||||||||||||||||||||||||||||||||||||||||||||</v>
      </c>
      <c r="F12" s="72"/>
      <c r="G12" s="73" t="str">
        <f t="shared" si="4"/>
        <v>||||||||||||||||||||||||||||||</v>
      </c>
      <c r="H12" s="72"/>
      <c r="I12" s="74" t="str">
        <f t="shared" si="5"/>
        <v>||||||||||||||||||||</v>
      </c>
      <c r="J12" s="72"/>
      <c r="K12" s="75" t="str">
        <f t="shared" si="6"/>
        <v>||||||||||||||||||||||||||||||||||||||||||||||||||</v>
      </c>
      <c r="L12" s="72"/>
      <c r="M12" s="76" t="str">
        <f t="shared" si="7"/>
        <v>||||||||||||||||||||||||||||||||||||||||||||||||||||||||||||||||||||||||||||||||||||||||||||||||||||</v>
      </c>
    </row>
    <row r="13" spans="1:14" ht="12.95" customHeight="1" x14ac:dyDescent="0.25">
      <c r="A13" s="51">
        <f t="shared" si="0"/>
        <v>26</v>
      </c>
      <c r="B13" s="77" t="str">
        <f t="shared" si="9"/>
        <v>Rana</v>
      </c>
      <c r="C13" s="78" t="str">
        <f t="shared" si="1"/>
        <v xml:space="preserve"> (51.3)</v>
      </c>
      <c r="D13" s="79" t="str">
        <f t="shared" si="2"/>
        <v>|||||||||||||||||||||||||||||||||||||||||||||||||||</v>
      </c>
      <c r="E13" s="71" t="str">
        <f t="shared" si="3"/>
        <v>||||||||||||||||||||</v>
      </c>
      <c r="F13" s="72"/>
      <c r="G13" s="73" t="str">
        <f t="shared" si="4"/>
        <v>||||||||||||||||||||||||||||||</v>
      </c>
      <c r="H13" s="72"/>
      <c r="I13" s="74" t="str">
        <f t="shared" si="5"/>
        <v>||||||||||||||||||||||||||||||||||||||||||||||||||||||||||||||||||||||</v>
      </c>
      <c r="J13" s="72"/>
      <c r="K13" s="75" t="str">
        <f t="shared" si="6"/>
        <v>||||||||||||||||||||||||||||||||||||||||||||||||||||||||||||||||||||||</v>
      </c>
      <c r="L13" s="72"/>
      <c r="M13" s="76" t="str">
        <f t="shared" si="7"/>
        <v>||||||||||||||||||||||||||||||||||||||||||||||||||||||||||||</v>
      </c>
    </row>
    <row r="14" spans="1:14" ht="12.95" customHeight="1" x14ac:dyDescent="0.25">
      <c r="A14" s="51">
        <f t="shared" si="0"/>
        <v>27</v>
      </c>
      <c r="B14" s="77" t="str">
        <f t="shared" si="9"/>
        <v>Pocor</v>
      </c>
      <c r="C14" s="78" t="str">
        <f t="shared" si="1"/>
        <v xml:space="preserve"> (41.3)</v>
      </c>
      <c r="D14" s="79" t="str">
        <f t="shared" si="2"/>
        <v>|||||||||||||||||||||||||||||||||||||||||</v>
      </c>
      <c r="E14" s="71" t="str">
        <f t="shared" si="3"/>
        <v>||||||||||||||||||||||||||||||||||||||||||||||||||</v>
      </c>
      <c r="F14" s="72"/>
      <c r="G14" s="73" t="str">
        <f t="shared" si="4"/>
        <v>||||||||||||||||||||||||||||||</v>
      </c>
      <c r="H14" s="72"/>
      <c r="I14" s="74" t="str">
        <f t="shared" si="5"/>
        <v>||||||||||||||||||||||||||||||||||||||||||||||||||||||||||||||||||||||</v>
      </c>
      <c r="J14" s="72"/>
      <c r="K14" s="75" t="str">
        <f t="shared" si="6"/>
        <v>||||||||||||||||||||</v>
      </c>
      <c r="L14" s="72"/>
      <c r="M14" s="76" t="str">
        <f t="shared" si="7"/>
        <v>||||||||||||||||||||</v>
      </c>
    </row>
    <row r="15" spans="1:14" ht="12.95" customHeight="1" x14ac:dyDescent="0.25">
      <c r="A15" s="51">
        <f t="shared" si="0"/>
        <v>28</v>
      </c>
      <c r="B15" s="77" t="str">
        <f t="shared" si="9"/>
        <v>Otiaflium</v>
      </c>
      <c r="C15" s="78" t="str">
        <f t="shared" si="1"/>
        <v xml:space="preserve"> (68.8)</v>
      </c>
      <c r="D15" s="79" t="str">
        <f t="shared" si="2"/>
        <v>||||||||||||||||||||||||||||||||||||||||||||||||||||||||||||||||||||</v>
      </c>
      <c r="E15" s="71" t="str">
        <f t="shared" si="3"/>
        <v>||||||||||||||||||||||||||||||||||||||||||||||||||||||||||||||||||||||||||||||||||||||||||||||||||||</v>
      </c>
      <c r="F15" s="72"/>
      <c r="G15" s="73" t="str">
        <f t="shared" si="4"/>
        <v>||||||||||||||||||||||||||||||</v>
      </c>
      <c r="H15" s="72"/>
      <c r="I15" s="74" t="str">
        <f t="shared" si="5"/>
        <v>||||||||||||||||||||||||||||||||||||||||||||||||||||||||||||</v>
      </c>
      <c r="J15" s="72"/>
      <c r="K15" s="75" t="str">
        <f t="shared" si="6"/>
        <v>||||||||||||||||||||||||||||||||||||||||||||||||||||||||||||||||||||||||||||||||||||||||||</v>
      </c>
      <c r="L15" s="72"/>
      <c r="M15" s="76" t="str">
        <f t="shared" si="7"/>
        <v>||||||||||||||||||||</v>
      </c>
    </row>
    <row r="16" spans="1:14" ht="12.95" customHeight="1" x14ac:dyDescent="0.25">
      <c r="A16" s="51">
        <f t="shared" si="0"/>
        <v>29</v>
      </c>
      <c r="B16" s="77" t="str">
        <f>D44</f>
        <v>Socia</v>
      </c>
      <c r="C16" s="78" t="str">
        <f t="shared" si="1"/>
        <v xml:space="preserve"> (62.5)</v>
      </c>
      <c r="D16" s="79" t="str">
        <f t="shared" si="2"/>
        <v>||||||||||||||||||||||||||||||||||||||||||||||||||||||||||||||</v>
      </c>
      <c r="E16" s="71" t="str">
        <f t="shared" si="3"/>
        <v>||||||||||||||||||||||||||||||||||||||||</v>
      </c>
      <c r="F16" s="72"/>
      <c r="G16" s="73" t="str">
        <f t="shared" si="4"/>
        <v>||||||||||||||||||||||||||||||</v>
      </c>
      <c r="H16" s="72"/>
      <c r="I16" s="74" t="str">
        <f t="shared" si="5"/>
        <v>||||||||||||||||||||||||||||||||||||||||||||||||||||||||||||||||||||||||||||||||||||||||||||||||||||</v>
      </c>
      <c r="J16" s="72"/>
      <c r="K16" s="75" t="str">
        <f t="shared" si="6"/>
        <v>||||||||||||||||||||||||||||||||||||||||||||||||||||||||||||||||||||||</v>
      </c>
      <c r="L16" s="72"/>
      <c r="M16" s="76" t="str">
        <f t="shared" si="7"/>
        <v>||||||||||||||||||||||||||||||||||||||||||||||||||</v>
      </c>
    </row>
    <row r="17" spans="1:15" ht="12.95" customHeight="1" x14ac:dyDescent="0.25">
      <c r="A17" s="51">
        <f t="shared" si="0"/>
        <v>30</v>
      </c>
      <c r="B17" s="77" t="str">
        <f t="shared" ref="B17:B20" si="10">D45</f>
        <v>Eqblines</v>
      </c>
      <c r="C17" s="78" t="str">
        <f t="shared" si="1"/>
        <v xml:space="preserve"> (60.0)</v>
      </c>
      <c r="D17" s="79" t="str">
        <f t="shared" si="2"/>
        <v>||||||||||||||||||||||||||||||||||||||||||||||||||||||||||||</v>
      </c>
      <c r="E17" s="71" t="str">
        <f t="shared" si="3"/>
        <v>||||||||||||||||||||||||||||||||||||||||</v>
      </c>
      <c r="F17" s="72"/>
      <c r="G17" s="73" t="str">
        <f t="shared" si="4"/>
        <v>||||||||||||||||||||</v>
      </c>
      <c r="H17" s="72"/>
      <c r="I17" s="74" t="str">
        <f t="shared" si="5"/>
        <v>||||||||||||||||||||||||||||||||||||||||||||||||||||||||||||||||||||||||||||||||||||||||||</v>
      </c>
      <c r="J17" s="72"/>
      <c r="K17" s="75" t="str">
        <f t="shared" si="6"/>
        <v>||||||||||||||||||||||||||||||||||||||||||||||||||||||||||||||||||||||||||||||||||||||||||</v>
      </c>
      <c r="L17" s="72"/>
      <c r="M17" s="76" t="str">
        <f t="shared" si="7"/>
        <v>||||||||||||||||||||</v>
      </c>
    </row>
    <row r="18" spans="1:15" ht="12.95" customHeight="1" x14ac:dyDescent="0.25">
      <c r="A18" s="51">
        <f t="shared" si="0"/>
        <v>31</v>
      </c>
      <c r="B18" s="77" t="str">
        <f t="shared" si="10"/>
        <v>Acoaslesh</v>
      </c>
      <c r="C18" s="78" t="str">
        <f t="shared" si="1"/>
        <v xml:space="preserve"> (42.5)</v>
      </c>
      <c r="D18" s="79" t="str">
        <f t="shared" si="2"/>
        <v>||||||||||||||||||||||||||||||||||||||||||</v>
      </c>
      <c r="E18" s="71" t="str">
        <f t="shared" si="3"/>
        <v>||||||||||||||||||||</v>
      </c>
      <c r="F18" s="72"/>
      <c r="G18" s="73" t="str">
        <f t="shared" si="4"/>
        <v>||||||||||||||||||||</v>
      </c>
      <c r="H18" s="72"/>
      <c r="I18" s="74" t="str">
        <f t="shared" si="5"/>
        <v>||||||||||</v>
      </c>
      <c r="J18" s="72"/>
      <c r="K18" s="75" t="str">
        <f t="shared" si="6"/>
        <v>||||||||||||||||||||||||||||||||||||||||||||||||||||||||||||||||||||||||||||||||</v>
      </c>
      <c r="L18" s="72"/>
      <c r="M18" s="76" t="str">
        <f t="shared" si="7"/>
        <v>||||||||||||||||||||||||||||||||||||||||||||||||||||||||||||||||||||||||||||||||||||||||||||||||||||</v>
      </c>
    </row>
    <row r="19" spans="1:15" ht="12.95" customHeight="1" x14ac:dyDescent="0.25">
      <c r="A19" s="51">
        <f t="shared" si="0"/>
        <v>32</v>
      </c>
      <c r="B19" s="77" t="str">
        <f t="shared" si="10"/>
        <v>Afon</v>
      </c>
      <c r="C19" s="78" t="str">
        <f t="shared" si="1"/>
        <v xml:space="preserve"> (31.3)</v>
      </c>
      <c r="D19" s="79" t="str">
        <f t="shared" si="2"/>
        <v>|||||||||||||||||||||||||||||||</v>
      </c>
      <c r="E19" s="71" t="str">
        <f t="shared" si="3"/>
        <v>||||||||||||||||||||||||||||||||||||||||</v>
      </c>
      <c r="F19" s="72"/>
      <c r="G19" s="73" t="str">
        <f t="shared" si="4"/>
        <v>||||||||||||||||||||</v>
      </c>
      <c r="H19" s="72"/>
      <c r="I19" s="74" t="str">
        <f t="shared" si="5"/>
        <v>||||||||||||||||||||||||||||||||||||||||</v>
      </c>
      <c r="J19" s="72"/>
      <c r="K19" s="75" t="str">
        <f t="shared" si="6"/>
        <v>||||||||||||||||||||</v>
      </c>
      <c r="L19" s="72"/>
      <c r="M19" s="76" t="str">
        <f t="shared" si="7"/>
        <v>||||||||||||||||||||||||||||||</v>
      </c>
    </row>
    <row r="20" spans="1:15" ht="12.95" customHeight="1" x14ac:dyDescent="0.25">
      <c r="A20" s="51">
        <f t="shared" si="0"/>
        <v>33</v>
      </c>
      <c r="B20" s="77" t="str">
        <f t="shared" si="10"/>
        <v>Iqeiskya</v>
      </c>
      <c r="C20" s="78" t="str">
        <f t="shared" si="1"/>
        <v xml:space="preserve"> (52.5)</v>
      </c>
      <c r="D20" s="79" t="str">
        <f t="shared" si="2"/>
        <v>||||||||||||||||||||||||||||||||||||||||||||||||||||</v>
      </c>
      <c r="E20" s="71" t="str">
        <f t="shared" si="3"/>
        <v>||||||||||||||||||||||||||||||||||||||||||||||||||||||||||||</v>
      </c>
      <c r="F20" s="72"/>
      <c r="G20" s="73" t="str">
        <f t="shared" si="4"/>
        <v>||||||||||||||||||||</v>
      </c>
      <c r="H20" s="72"/>
      <c r="I20" s="74" t="str">
        <f t="shared" si="5"/>
        <v>||||||||||||||||||||||||||||||||||||||||||||||||||</v>
      </c>
      <c r="J20" s="72"/>
      <c r="K20" s="75" t="str">
        <f t="shared" si="6"/>
        <v>||||||||||||||||||||||||||||||||||||||||||||||||||||||||||||</v>
      </c>
      <c r="L20" s="72"/>
      <c r="M20" s="76" t="str">
        <f t="shared" si="7"/>
        <v>||||||||||||||||||||||||||||||||||||||||||||||||||||||||||||</v>
      </c>
    </row>
    <row r="21" spans="1:15" ht="12.95" customHeight="1" x14ac:dyDescent="0.25">
      <c r="A21" s="51">
        <f t="shared" si="0"/>
        <v>34</v>
      </c>
      <c r="B21" s="77" t="str">
        <f>D49</f>
        <v>Jaca</v>
      </c>
      <c r="C21" s="78" t="str">
        <f t="shared" ref="C21:C25" si="11" xml:space="preserve"> " ("&amp;TEXT(O49,"#.0")&amp;")"</f>
        <v xml:space="preserve"> (31.3)</v>
      </c>
      <c r="D21" s="79" t="str">
        <f t="shared" ref="D21:D25" si="12">IFERROR(REPT("|",O49),"")</f>
        <v>|||||||||||||||||||||||||||||||</v>
      </c>
      <c r="E21" s="71" t="str">
        <f t="shared" ref="E21:E25" si="13">IFERROR(REPT("|",E49),"")</f>
        <v>||||||||||||||||||||||||||||||||||||||||||||||||||||||||||||||||||||||||||||||||||||||||||</v>
      </c>
      <c r="F21" s="72"/>
      <c r="G21" s="73" t="str">
        <f t="shared" ref="G21:G25" si="14">IFERROR(REPT("|",G49),"")</f>
        <v>||||||||||||||||||||</v>
      </c>
      <c r="H21" s="72"/>
      <c r="I21" s="74" t="str">
        <f t="shared" ref="I21:I25" si="15">IFERROR(REPT("|",I49),"")</f>
        <v>||||||||||</v>
      </c>
      <c r="J21" s="72"/>
      <c r="K21" s="75" t="str">
        <f t="shared" ref="K21:K25" si="16">IFERROR(REPT("|",K49),"")</f>
        <v>||||||||||</v>
      </c>
      <c r="L21" s="72"/>
      <c r="M21" s="76" t="str">
        <f t="shared" ref="M21:M25" si="17">IFERROR(REPT("|",M49),"")</f>
        <v>||||||||||</v>
      </c>
    </row>
    <row r="22" spans="1:15" ht="12.95" customHeight="1" x14ac:dyDescent="0.25">
      <c r="A22" s="51">
        <f t="shared" si="0"/>
        <v>35</v>
      </c>
      <c r="B22" s="77" t="str">
        <f t="shared" ref="B22:B25" si="18">D50</f>
        <v>Puafoabia</v>
      </c>
      <c r="C22" s="78" t="str">
        <f t="shared" si="11"/>
        <v xml:space="preserve"> (43.8)</v>
      </c>
      <c r="D22" s="79" t="str">
        <f t="shared" si="12"/>
        <v>|||||||||||||||||||||||||||||||||||||||||||</v>
      </c>
      <c r="E22" s="71" t="str">
        <f t="shared" si="13"/>
        <v>||||||||||||||||||||||||||||||</v>
      </c>
      <c r="F22" s="72"/>
      <c r="G22" s="73" t="str">
        <f t="shared" si="14"/>
        <v>||||||||||</v>
      </c>
      <c r="H22" s="72"/>
      <c r="I22" s="74" t="str">
        <f t="shared" si="15"/>
        <v>||||||||||||||||||||||||||||||||||||||||||||||||||||||||||||||||||||||||||||||||||||||||||</v>
      </c>
      <c r="J22" s="72"/>
      <c r="K22" s="75" t="str">
        <f t="shared" si="16"/>
        <v>||||||||||||||||||||||||||||||||||||||||</v>
      </c>
      <c r="L22" s="72"/>
      <c r="M22" s="76" t="str">
        <f t="shared" si="17"/>
        <v>||||||||||||||||||||</v>
      </c>
    </row>
    <row r="23" spans="1:15" ht="12.95" customHeight="1" x14ac:dyDescent="0.25">
      <c r="A23" s="51">
        <f t="shared" si="0"/>
        <v>36</v>
      </c>
      <c r="B23" s="77" t="str">
        <f t="shared" si="18"/>
        <v>Ithha</v>
      </c>
      <c r="C23" s="78" t="str">
        <f t="shared" si="11"/>
        <v xml:space="preserve"> (72.5)</v>
      </c>
      <c r="D23" s="79" t="str">
        <f t="shared" si="12"/>
        <v>||||||||||||||||||||||||||||||||||||||||||||||||||||||||||||||||||||||||</v>
      </c>
      <c r="E23" s="71" t="str">
        <f t="shared" si="13"/>
        <v>||||||||||||||||||||||||||||||||||||||||||||||||||||||||||||||||||||||||||||||||||||||||||||||||||||</v>
      </c>
      <c r="F23" s="72"/>
      <c r="G23" s="73" t="str">
        <f t="shared" si="14"/>
        <v>||||||||||</v>
      </c>
      <c r="H23" s="72"/>
      <c r="I23" s="74" t="str">
        <f t="shared" si="15"/>
        <v>||||||||||||||||||||||||||||||||||||||||||||||||||||||||||||||||||||||||||||||||||||||||||</v>
      </c>
      <c r="J23" s="72"/>
      <c r="K23" s="75" t="str">
        <f t="shared" si="16"/>
        <v>||||||||||||||||||||||||||||||||||||||||||||||||||||||||||||||||||||||</v>
      </c>
      <c r="L23" s="72"/>
      <c r="M23" s="76" t="str">
        <f t="shared" si="17"/>
        <v>||||||||||||||||||||||||||||||||||||||||||||||||||</v>
      </c>
    </row>
    <row r="24" spans="1:15" ht="12.95" customHeight="1" x14ac:dyDescent="0.25">
      <c r="A24" s="51">
        <f t="shared" si="0"/>
        <v>37</v>
      </c>
      <c r="B24" s="77" t="str">
        <f t="shared" si="18"/>
        <v>Dovaeria</v>
      </c>
      <c r="C24" s="78" t="str">
        <f t="shared" si="11"/>
        <v xml:space="preserve"> (46.3)</v>
      </c>
      <c r="D24" s="79" t="str">
        <f t="shared" si="12"/>
        <v>||||||||||||||||||||||||||||||||||||||||||||||</v>
      </c>
      <c r="E24" s="71" t="str">
        <f t="shared" si="13"/>
        <v>||||||||||||||||||||||||||||||</v>
      </c>
      <c r="F24" s="72"/>
      <c r="G24" s="73" t="str">
        <f t="shared" si="14"/>
        <v>||||||||||</v>
      </c>
      <c r="H24" s="72"/>
      <c r="I24" s="74" t="str">
        <f t="shared" si="15"/>
        <v>||||||||||||||||||||||||||||||||||||||||||||||||||||||||||||||||||||||||||||||||||||||||||||||||||||</v>
      </c>
      <c r="J24" s="72"/>
      <c r="K24" s="75" t="str">
        <f t="shared" si="16"/>
        <v>||||||||||</v>
      </c>
      <c r="L24" s="72"/>
      <c r="M24" s="76" t="str">
        <f t="shared" si="17"/>
        <v>||||||||||||||||||||||||||||||||||||||||||||||||||||||||||||||||||||||||||||||||</v>
      </c>
    </row>
    <row r="25" spans="1:15" ht="12.95" customHeight="1" x14ac:dyDescent="0.25">
      <c r="A25" s="51">
        <f t="shared" si="0"/>
        <v>38</v>
      </c>
      <c r="B25" s="77" t="str">
        <f t="shared" si="18"/>
        <v>Elsmen</v>
      </c>
      <c r="C25" s="78" t="str">
        <f t="shared" si="11"/>
        <v xml:space="preserve"> (36.3)</v>
      </c>
      <c r="D25" s="79" t="str">
        <f t="shared" si="12"/>
        <v>||||||||||||||||||||||||||||||||||||</v>
      </c>
      <c r="E25" s="71" t="str">
        <f t="shared" si="13"/>
        <v>||||||||||||||||||||||||||||||</v>
      </c>
      <c r="F25" s="72"/>
      <c r="G25" s="80" t="str">
        <f t="shared" si="14"/>
        <v>||||||||||</v>
      </c>
      <c r="H25" s="72"/>
      <c r="I25" s="81" t="str">
        <f t="shared" si="15"/>
        <v>||||||||||||||||||||</v>
      </c>
      <c r="J25" s="72"/>
      <c r="K25" s="82" t="str">
        <f t="shared" si="16"/>
        <v>||||||||||||||||||||||||||||||||||||||||||||||||||||||||||||||||||||||||||||||||</v>
      </c>
      <c r="L25" s="72"/>
      <c r="M25" s="76" t="str">
        <f t="shared" si="17"/>
        <v>||||||||||||||||||||</v>
      </c>
    </row>
    <row r="26" spans="1:15" ht="6" customHeight="1" x14ac:dyDescent="0.25">
      <c r="A26" s="51"/>
      <c r="B26" s="77"/>
      <c r="C26" s="78"/>
      <c r="D26" s="83"/>
      <c r="E26" s="84"/>
      <c r="F26" s="72"/>
      <c r="G26" s="80"/>
      <c r="H26" s="72"/>
      <c r="I26" s="81"/>
      <c r="J26" s="72"/>
      <c r="K26" s="82"/>
      <c r="L26" s="72"/>
      <c r="M26" s="85"/>
    </row>
    <row r="27" spans="1:15" x14ac:dyDescent="0.25">
      <c r="B27" s="136" t="s">
        <v>91</v>
      </c>
      <c r="C27" s="137"/>
      <c r="D27" s="63" t="str">
        <f>REPT("|",100)</f>
        <v>||||||||||||||||||||||||||||||||||||||||||||||||||||||||||||||||||||||||||||||||||||||||||||||||||||</v>
      </c>
      <c r="E27" s="64" t="str">
        <f>REPT("|",100)</f>
        <v>||||||||||||||||||||||||||||||||||||||||||||||||||||||||||||||||||||||||||||||||||||||||||||||||||||</v>
      </c>
      <c r="G27" s="53" t="str">
        <f>REPT("|",100)</f>
        <v>||||||||||||||||||||||||||||||||||||||||||||||||||||||||||||||||||||||||||||||||||||||||||||||||||||</v>
      </c>
      <c r="I27" s="54" t="str">
        <f>REPT("|",100)</f>
        <v>||||||||||||||||||||||||||||||||||||||||||||||||||||||||||||||||||||||||||||||||||||||||||||||||||||</v>
      </c>
      <c r="K27" s="55" t="str">
        <f>REPT("|",100)</f>
        <v>||||||||||||||||||||||||||||||||||||||||||||||||||||||||||||||||||||||||||||||||||||||||||||||||||||</v>
      </c>
      <c r="M27" s="62" t="str">
        <f>REPT("|",100)</f>
        <v>||||||||||||||||||||||||||||||||||||||||||||||||||||||||||||||||||||||||||||||||||||||||||||||||||||</v>
      </c>
    </row>
    <row r="30" spans="1:15" ht="20.25" x14ac:dyDescent="0.35">
      <c r="A30" s="87"/>
      <c r="B30" s="88" t="s">
        <v>84</v>
      </c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</row>
    <row r="31" spans="1:15" x14ac:dyDescent="0.25">
      <c r="A31" s="87"/>
      <c r="B31" s="87" t="s">
        <v>85</v>
      </c>
      <c r="C31" s="109"/>
      <c r="D31" s="89">
        <v>19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</row>
    <row r="32" spans="1:15" x14ac:dyDescent="0.25">
      <c r="A32" s="87"/>
      <c r="B32" s="87" t="s">
        <v>89</v>
      </c>
      <c r="C32" s="87"/>
      <c r="D32" s="90">
        <f>INDEX($E$32:$O$32,MATCH(G2,$E$33:$O$33,0))</f>
        <v>2</v>
      </c>
      <c r="E32" s="110">
        <v>1</v>
      </c>
      <c r="F32" s="105"/>
      <c r="G32" s="105">
        <v>2</v>
      </c>
      <c r="H32" s="105"/>
      <c r="I32" s="105">
        <v>3</v>
      </c>
      <c r="J32" s="105"/>
      <c r="K32" s="105">
        <v>4</v>
      </c>
      <c r="L32" s="105"/>
      <c r="M32" s="105">
        <v>5</v>
      </c>
      <c r="N32" s="105"/>
      <c r="O32" s="105">
        <v>6</v>
      </c>
    </row>
    <row r="33" spans="1:15" ht="39" x14ac:dyDescent="0.25">
      <c r="A33" s="96" t="s">
        <v>86</v>
      </c>
      <c r="B33" s="97" t="str">
        <f>"Sort Column: " &amp; INDEX(Database[[#Headers],[Health Level (weighted)]:[Total]],Analysis.SortColumnId)</f>
        <v>Sort Column: Responsiveness (weighted)</v>
      </c>
      <c r="C33" s="97" t="s">
        <v>90</v>
      </c>
      <c r="D33" s="98" t="s">
        <v>87</v>
      </c>
      <c r="E33" s="106" t="s">
        <v>10</v>
      </c>
      <c r="F33" s="106"/>
      <c r="G33" s="106" t="s">
        <v>11</v>
      </c>
      <c r="H33" s="106"/>
      <c r="I33" s="106" t="s">
        <v>12</v>
      </c>
      <c r="J33" s="106"/>
      <c r="K33" s="106" t="s">
        <v>9</v>
      </c>
      <c r="L33" s="106"/>
      <c r="M33" s="106" t="s">
        <v>8</v>
      </c>
      <c r="N33" s="107"/>
      <c r="O33" s="108" t="s">
        <v>74</v>
      </c>
    </row>
    <row r="34" spans="1:15" x14ac:dyDescent="0.25">
      <c r="A34" s="91">
        <f>D31</f>
        <v>19</v>
      </c>
      <c r="B34" s="92">
        <f>LARGE(Database[Analysis Sort Column],A34)</f>
        <v>6.5000000000000002E-2</v>
      </c>
      <c r="C34" s="91">
        <f>MATCH(B34,Database[Analysis Sort Column],0)</f>
        <v>16</v>
      </c>
      <c r="D34" s="91" t="str">
        <f>INDEX(Database[Country Name],C34)</f>
        <v>Heiestan</v>
      </c>
      <c r="E34" s="93">
        <f>INDEX(Database[Health Level],C34)*10</f>
        <v>70</v>
      </c>
      <c r="F34" s="94"/>
      <c r="G34" s="93">
        <f>INDEX(Database[Responsiveness],C34)*10</f>
        <v>50</v>
      </c>
      <c r="H34" s="91"/>
      <c r="I34" s="91">
        <f>INDEX(Database[Financial Fairness],C34)*10</f>
        <v>80</v>
      </c>
      <c r="J34" s="91"/>
      <c r="K34" s="91">
        <f>INDEX(Database[Health Distribution],C34)*10</f>
        <v>100</v>
      </c>
      <c r="L34" s="91"/>
      <c r="M34" s="91">
        <f>INDEX(Database[Responsiveness Distribution],C34)*10</f>
        <v>100</v>
      </c>
      <c r="N34" s="91"/>
      <c r="O34" s="95">
        <f>INDEX(Database[Total],C34)</f>
        <v>81.25</v>
      </c>
    </row>
    <row r="35" spans="1:15" x14ac:dyDescent="0.25">
      <c r="A35" s="91">
        <f>A34+1</f>
        <v>20</v>
      </c>
      <c r="B35" s="92">
        <f>LARGE(Database[Analysis Sort Column],A35)</f>
        <v>6.3799999999999996E-2</v>
      </c>
      <c r="C35" s="91">
        <f>MATCH(B35,Database[Analysis Sort Column],0)</f>
        <v>37</v>
      </c>
      <c r="D35" s="91" t="str">
        <f>INDEX(Database[Country Name],C35)</f>
        <v>Sodal</v>
      </c>
      <c r="E35" s="93">
        <f>INDEX(Database[Health Level],C35)*10</f>
        <v>70</v>
      </c>
      <c r="F35" s="94"/>
      <c r="G35" s="93">
        <f>INDEX(Database[Responsiveness],C35)*10</f>
        <v>50</v>
      </c>
      <c r="H35" s="91"/>
      <c r="I35" s="91">
        <f>INDEX(Database[Financial Fairness (weighted)],C35)/Helper.FinancialFairnessWeight*100</f>
        <v>30</v>
      </c>
      <c r="J35" s="91"/>
      <c r="K35" s="91">
        <f>INDEX(Database[Health Distribution],C35)*10</f>
        <v>100</v>
      </c>
      <c r="L35" s="91"/>
      <c r="M35" s="91">
        <f>INDEX(Database[Responsiveness Distribution],C35)*10</f>
        <v>70</v>
      </c>
      <c r="N35" s="91"/>
      <c r="O35" s="95">
        <f>INDEX(Database[Total],C35)</f>
        <v>65</v>
      </c>
    </row>
    <row r="36" spans="1:15" x14ac:dyDescent="0.25">
      <c r="A36" s="91">
        <f t="shared" ref="A36:A53" si="19">A35+1</f>
        <v>21</v>
      </c>
      <c r="B36" s="92">
        <f>LARGE(Database[Analysis Sort Column],A36)</f>
        <v>5.2900000000000003E-2</v>
      </c>
      <c r="C36" s="91">
        <f>MATCH(B36,Database[Analysis Sort Column],0)</f>
        <v>35</v>
      </c>
      <c r="D36" s="91" t="str">
        <f>INDEX(Database[Country Name],C36)</f>
        <v>Seoceudan</v>
      </c>
      <c r="E36" s="93">
        <f>INDEX(Database[Health Level],C36)*10</f>
        <v>10</v>
      </c>
      <c r="F36" s="94"/>
      <c r="G36" s="93">
        <f>INDEX(Database[Responsiveness],C36)*10</f>
        <v>40</v>
      </c>
      <c r="H36" s="91"/>
      <c r="I36" s="91">
        <f>INDEX(Database[Financial Fairness (weighted)],C36)/Helper.FinancialFairnessWeight*100</f>
        <v>90</v>
      </c>
      <c r="J36" s="91"/>
      <c r="K36" s="91">
        <f>INDEX(Database[Health Distribution],C36)*10</f>
        <v>90</v>
      </c>
      <c r="L36" s="91"/>
      <c r="M36" s="91">
        <f>INDEX(Database[Responsiveness Distribution],C36)*10</f>
        <v>40</v>
      </c>
      <c r="N36" s="91"/>
      <c r="O36" s="95">
        <f>INDEX(Database[Total],C36)</f>
        <v>57.500000000000007</v>
      </c>
    </row>
    <row r="37" spans="1:15" x14ac:dyDescent="0.25">
      <c r="A37" s="91">
        <f t="shared" si="19"/>
        <v>22</v>
      </c>
      <c r="B37" s="92">
        <f>LARGE(Database[Analysis Sort Column],A37)</f>
        <v>5.2600000000000001E-2</v>
      </c>
      <c r="C37" s="91">
        <f>MATCH(B37,Database[Analysis Sort Column],0)</f>
        <v>39</v>
      </c>
      <c r="D37" s="91" t="str">
        <f>INDEX(Database[Country Name],C37)</f>
        <v>Urwhary</v>
      </c>
      <c r="E37" s="93">
        <f>INDEX(Database[Health Level],C37)*10</f>
        <v>70</v>
      </c>
      <c r="F37" s="94"/>
      <c r="G37" s="93">
        <f>INDEX(Database[Responsiveness],C37)*10</f>
        <v>40</v>
      </c>
      <c r="H37" s="91"/>
      <c r="I37" s="91">
        <f>INDEX(Database[Financial Fairness (weighted)],C37)/Helper.FinancialFairnessWeight*100</f>
        <v>50</v>
      </c>
      <c r="J37" s="91"/>
      <c r="K37" s="91">
        <f>INDEX(Database[Health Distribution],C37)*10</f>
        <v>60</v>
      </c>
      <c r="L37" s="91"/>
      <c r="M37" s="91">
        <f>INDEX(Database[Responsiveness Distribution],C37)*10</f>
        <v>30</v>
      </c>
      <c r="N37" s="91"/>
      <c r="O37" s="95">
        <f>INDEX(Database[Total],C37)</f>
        <v>53.75</v>
      </c>
    </row>
    <row r="38" spans="1:15" x14ac:dyDescent="0.25">
      <c r="A38" s="91">
        <f>A37+1</f>
        <v>23</v>
      </c>
      <c r="B38" s="92">
        <f>LARGE(Database[Analysis Sort Column],A38)</f>
        <v>4.2599999999999999E-2</v>
      </c>
      <c r="C38" s="91">
        <f>MATCH(B38,Database[Analysis Sort Column],0)</f>
        <v>38</v>
      </c>
      <c r="D38" s="91" t="str">
        <f>INDEX(Database[Country Name],C38)</f>
        <v>Stansblink</v>
      </c>
      <c r="E38" s="93">
        <f>INDEX(Database[Health Level],C38)*10</f>
        <v>20</v>
      </c>
      <c r="F38" s="94"/>
      <c r="G38" s="93">
        <f>INDEX(Database[Responsiveness],C38)*10</f>
        <v>30</v>
      </c>
      <c r="H38" s="91"/>
      <c r="I38" s="91">
        <f>INDEX(Database[Financial Fairness (weighted)],C38)/Helper.FinancialFairnessWeight*100</f>
        <v>40</v>
      </c>
      <c r="J38" s="91"/>
      <c r="K38" s="91">
        <f>INDEX(Database[Health Distribution],C38)*10</f>
        <v>50</v>
      </c>
      <c r="L38" s="91"/>
      <c r="M38" s="91">
        <f>INDEX(Database[Responsiveness Distribution],C38)*10</f>
        <v>60</v>
      </c>
      <c r="N38" s="91"/>
      <c r="O38" s="95">
        <f>INDEX(Database[Total],C38)</f>
        <v>38.75</v>
      </c>
    </row>
    <row r="39" spans="1:15" x14ac:dyDescent="0.25">
      <c r="A39" s="91">
        <f t="shared" si="19"/>
        <v>24</v>
      </c>
      <c r="B39" s="92">
        <f>LARGE(Database[Analysis Sort Column],A39)</f>
        <v>4.1599999999999998E-2</v>
      </c>
      <c r="C39" s="91">
        <f>MATCH(B39,Database[Analysis Sort Column],0)</f>
        <v>31</v>
      </c>
      <c r="D39" s="91" t="str">
        <f>INDEX(Database[Country Name],C39)</f>
        <v>Pustein</v>
      </c>
      <c r="E39" s="93">
        <f>INDEX(Database[Health Level],C39)*10</f>
        <v>10</v>
      </c>
      <c r="F39" s="94"/>
      <c r="G39" s="93">
        <f>INDEX(Database[Responsiveness],C39)*10</f>
        <v>30</v>
      </c>
      <c r="H39" s="91"/>
      <c r="I39" s="91">
        <f>INDEX(Database[Financial Fairness (weighted)],C39)/Helper.FinancialFairnessWeight*100</f>
        <v>70</v>
      </c>
      <c r="J39" s="91"/>
      <c r="K39" s="91">
        <f>INDEX(Database[Health Distribution],C39)*10</f>
        <v>60</v>
      </c>
      <c r="L39" s="91"/>
      <c r="M39" s="91">
        <f>INDEX(Database[Responsiveness Distribution],C39)*10</f>
        <v>60</v>
      </c>
      <c r="N39" s="91"/>
      <c r="O39" s="95">
        <f>INDEX(Database[Total],C39)</f>
        <v>46.25</v>
      </c>
    </row>
    <row r="40" spans="1:15" x14ac:dyDescent="0.25">
      <c r="A40" s="91">
        <f t="shared" si="19"/>
        <v>25</v>
      </c>
      <c r="B40" s="92">
        <f>LARGE(Database[Analysis Sort Column],A40)</f>
        <v>4.1000000000000002E-2</v>
      </c>
      <c r="C40" s="91">
        <f>MATCH(B40,Database[Analysis Sort Column],0)</f>
        <v>23</v>
      </c>
      <c r="D40" s="91" t="str">
        <f>INDEX(Database[Country Name],C40)</f>
        <v>Neiestein</v>
      </c>
      <c r="E40" s="93">
        <f>INDEX(Database[Health Level],C40)*10</f>
        <v>80</v>
      </c>
      <c r="F40" s="94"/>
      <c r="G40" s="93">
        <f>INDEX(Database[Responsiveness],C40)*10</f>
        <v>30</v>
      </c>
      <c r="H40" s="91"/>
      <c r="I40" s="91">
        <f>INDEX(Database[Financial Fairness (weighted)],C40)/Helper.FinancialFairnessWeight*100</f>
        <v>20</v>
      </c>
      <c r="J40" s="91"/>
      <c r="K40" s="91">
        <f>INDEX(Database[Health Distribution],C40)*10</f>
        <v>50</v>
      </c>
      <c r="L40" s="91"/>
      <c r="M40" s="91">
        <f>INDEX(Database[Responsiveness Distribution],C40)*10</f>
        <v>100</v>
      </c>
      <c r="N40" s="91"/>
      <c r="O40" s="95">
        <f>INDEX(Database[Total],C40)</f>
        <v>53.750000000000007</v>
      </c>
    </row>
    <row r="41" spans="1:15" x14ac:dyDescent="0.25">
      <c r="A41" s="91">
        <f t="shared" si="19"/>
        <v>26</v>
      </c>
      <c r="B41" s="92">
        <f>LARGE(Database[Analysis Sort Column],A41)</f>
        <v>4.0599999999999997E-2</v>
      </c>
      <c r="C41" s="91">
        <f>MATCH(B41,Database[Analysis Sort Column],0)</f>
        <v>32</v>
      </c>
      <c r="D41" s="91" t="str">
        <f>INDEX(Database[Country Name],C41)</f>
        <v>Rana</v>
      </c>
      <c r="E41" s="93">
        <f>INDEX(Database[Health Level],C41)*10</f>
        <v>20</v>
      </c>
      <c r="F41" s="94"/>
      <c r="G41" s="93">
        <f>INDEX(Database[Responsiveness],C41)*10</f>
        <v>30</v>
      </c>
      <c r="H41" s="91"/>
      <c r="I41" s="91">
        <f>INDEX(Database[Financial Fairness (weighted)],C41)/Helper.FinancialFairnessWeight*100</f>
        <v>70</v>
      </c>
      <c r="J41" s="91"/>
      <c r="K41" s="91">
        <f>INDEX(Database[Health Distribution],C41)*10</f>
        <v>70</v>
      </c>
      <c r="L41" s="91"/>
      <c r="M41" s="91">
        <f>INDEX(Database[Responsiveness Distribution],C41)*10</f>
        <v>60</v>
      </c>
      <c r="N41" s="91"/>
      <c r="O41" s="95">
        <f>INDEX(Database[Total],C41)</f>
        <v>51.249999999999993</v>
      </c>
    </row>
    <row r="42" spans="1:15" x14ac:dyDescent="0.25">
      <c r="A42" s="91">
        <f t="shared" si="19"/>
        <v>27</v>
      </c>
      <c r="B42" s="92">
        <f>LARGE(Database[Analysis Sort Column],A42)</f>
        <v>3.9599999999999996E-2</v>
      </c>
      <c r="C42" s="91">
        <f>MATCH(B42,Database[Analysis Sort Column],0)</f>
        <v>28</v>
      </c>
      <c r="D42" s="91" t="str">
        <f>INDEX(Database[Country Name],C42)</f>
        <v>Pocor</v>
      </c>
      <c r="E42" s="93">
        <f>INDEX(Database[Health Level],C42)*10</f>
        <v>50</v>
      </c>
      <c r="F42" s="94"/>
      <c r="G42" s="93">
        <f>INDEX(Database[Responsiveness],C42)*10</f>
        <v>30</v>
      </c>
      <c r="H42" s="91"/>
      <c r="I42" s="91">
        <f>INDEX(Database[Financial Fairness (weighted)],C42)/Helper.FinancialFairnessWeight*100</f>
        <v>70</v>
      </c>
      <c r="J42" s="91"/>
      <c r="K42" s="91">
        <f>INDEX(Database[Health Distribution],C42)*10</f>
        <v>20</v>
      </c>
      <c r="L42" s="91"/>
      <c r="M42" s="91">
        <f>INDEX(Database[Responsiveness Distribution],C42)*10</f>
        <v>20</v>
      </c>
      <c r="N42" s="91"/>
      <c r="O42" s="95">
        <f>INDEX(Database[Total],C42)</f>
        <v>41.25</v>
      </c>
    </row>
    <row r="43" spans="1:15" x14ac:dyDescent="0.25">
      <c r="A43" s="91">
        <f t="shared" si="19"/>
        <v>28</v>
      </c>
      <c r="B43" s="92">
        <f>LARGE(Database[Analysis Sort Column],A43)</f>
        <v>3.85E-2</v>
      </c>
      <c r="C43" s="91">
        <f>MATCH(B43,Database[Analysis Sort Column],0)</f>
        <v>27</v>
      </c>
      <c r="D43" s="91" t="str">
        <f>INDEX(Database[Country Name],C43)</f>
        <v>Otiaflium</v>
      </c>
      <c r="E43" s="93">
        <f>INDEX(Database[Health Level],C43)*10</f>
        <v>100</v>
      </c>
      <c r="F43" s="94"/>
      <c r="G43" s="93">
        <f>INDEX(Database[Responsiveness],C43)*10</f>
        <v>30</v>
      </c>
      <c r="H43" s="91"/>
      <c r="I43" s="91">
        <f>INDEX(Database[Financial Fairness (weighted)],C43)/Helper.FinancialFairnessWeight*100</f>
        <v>60</v>
      </c>
      <c r="J43" s="91"/>
      <c r="K43" s="91">
        <f>INDEX(Database[Health Distribution],C43)*10</f>
        <v>90</v>
      </c>
      <c r="L43" s="91"/>
      <c r="M43" s="91">
        <f>INDEX(Database[Responsiveness Distribution],C43)*10</f>
        <v>20</v>
      </c>
      <c r="N43" s="91"/>
      <c r="O43" s="95">
        <f>INDEX(Database[Total],C43)</f>
        <v>68.75</v>
      </c>
    </row>
    <row r="44" spans="1:15" x14ac:dyDescent="0.25">
      <c r="A44" s="91">
        <f t="shared" si="19"/>
        <v>29</v>
      </c>
      <c r="B44" s="92">
        <f>LARGE(Database[Analysis Sort Column],A44)</f>
        <v>3.78E-2</v>
      </c>
      <c r="C44" s="91">
        <f>MATCH(B44,Database[Analysis Sort Column],0)</f>
        <v>36</v>
      </c>
      <c r="D44" s="91" t="str">
        <f>INDEX(Database[Country Name],C44)</f>
        <v>Socia</v>
      </c>
      <c r="E44" s="93">
        <f>INDEX(Database[Health Level],C44)*10</f>
        <v>40</v>
      </c>
      <c r="F44" s="94"/>
      <c r="G44" s="93">
        <f>INDEX(Database[Responsiveness],C44)*10</f>
        <v>30</v>
      </c>
      <c r="H44" s="91"/>
      <c r="I44" s="91">
        <f>INDEX(Database[Financial Fairness (weighted)],C44)/Helper.FinancialFairnessWeight*100</f>
        <v>100</v>
      </c>
      <c r="J44" s="91"/>
      <c r="K44" s="91">
        <f>INDEX(Database[Health Distribution],C44)*10</f>
        <v>70</v>
      </c>
      <c r="L44" s="91"/>
      <c r="M44" s="91">
        <f>INDEX(Database[Responsiveness Distribution],C44)*10</f>
        <v>50</v>
      </c>
      <c r="N44" s="91"/>
      <c r="O44" s="95">
        <f>INDEX(Database[Total],C44)</f>
        <v>62.5</v>
      </c>
    </row>
    <row r="45" spans="1:15" x14ac:dyDescent="0.25">
      <c r="A45" s="91">
        <f t="shared" si="19"/>
        <v>30</v>
      </c>
      <c r="B45" s="92">
        <f>LARGE(Database[Analysis Sort Column],A45)</f>
        <v>2.86E-2</v>
      </c>
      <c r="C45" s="91">
        <f>MATCH(B45,Database[Analysis Sort Column],0)</f>
        <v>12</v>
      </c>
      <c r="D45" s="91" t="str">
        <f>INDEX(Database[Country Name],C45)</f>
        <v>Eqblines</v>
      </c>
      <c r="E45" s="93">
        <f>INDEX(Database[Health Level],C45)*10</f>
        <v>40</v>
      </c>
      <c r="F45" s="94"/>
      <c r="G45" s="93">
        <f>INDEX(Database[Responsiveness],C45)*10</f>
        <v>20</v>
      </c>
      <c r="H45" s="91"/>
      <c r="I45" s="91">
        <f>INDEX(Database[Financial Fairness (weighted)],C45)/Helper.FinancialFairnessWeight*100</f>
        <v>90</v>
      </c>
      <c r="J45" s="91"/>
      <c r="K45" s="91">
        <f>INDEX(Database[Health Distribution],C45)*10</f>
        <v>90</v>
      </c>
      <c r="L45" s="91"/>
      <c r="M45" s="91">
        <f>INDEX(Database[Responsiveness Distribution],C45)*10</f>
        <v>20</v>
      </c>
      <c r="N45" s="91"/>
      <c r="O45" s="95">
        <f>INDEX(Database[Total],C45)</f>
        <v>60</v>
      </c>
    </row>
    <row r="46" spans="1:15" x14ac:dyDescent="0.25">
      <c r="A46" s="91">
        <f>A45+1</f>
        <v>31</v>
      </c>
      <c r="B46" s="92">
        <f>LARGE(Database[Analysis Sort Column],A46)</f>
        <v>2.8000000000000001E-2</v>
      </c>
      <c r="C46" s="91">
        <f>MATCH(B46,Database[Analysis Sort Column],0)</f>
        <v>1</v>
      </c>
      <c r="D46" s="91" t="str">
        <f>INDEX(Database[Country Name],C46)</f>
        <v>Acoaslesh</v>
      </c>
      <c r="E46" s="93">
        <f>INDEX(Database[Health Level],C46)*10</f>
        <v>20</v>
      </c>
      <c r="F46" s="94"/>
      <c r="G46" s="93">
        <f>INDEX(Database[Responsiveness],C46)*10</f>
        <v>20</v>
      </c>
      <c r="H46" s="91"/>
      <c r="I46" s="91">
        <f>INDEX(Database[Financial Fairness (weighted)],C46)/Helper.FinancialFairnessWeight*100</f>
        <v>10</v>
      </c>
      <c r="J46" s="91"/>
      <c r="K46" s="91">
        <f>INDEX(Database[Health Distribution],C46)*10</f>
        <v>80</v>
      </c>
      <c r="L46" s="91"/>
      <c r="M46" s="91">
        <f>INDEX(Database[Responsiveness Distribution],C46)*10</f>
        <v>100</v>
      </c>
      <c r="N46" s="91"/>
      <c r="O46" s="95">
        <f>INDEX(Database[Total],C46)</f>
        <v>42.500000000000007</v>
      </c>
    </row>
    <row r="47" spans="1:15" x14ac:dyDescent="0.25">
      <c r="A47" s="91">
        <f t="shared" si="19"/>
        <v>32</v>
      </c>
      <c r="B47" s="92">
        <f>LARGE(Database[Analysis Sort Column],A47)</f>
        <v>2.7400000000000001E-2</v>
      </c>
      <c r="C47" s="91">
        <f>MATCH(B47,Database[Analysis Sort Column],0)</f>
        <v>2</v>
      </c>
      <c r="D47" s="91" t="str">
        <f>INDEX(Database[Country Name],C47)</f>
        <v>Afon</v>
      </c>
      <c r="E47" s="93">
        <f>INDEX(Database[Health Level],C47)*10</f>
        <v>40</v>
      </c>
      <c r="F47" s="94"/>
      <c r="G47" s="93">
        <f>INDEX(Database[Responsiveness],C47)*10</f>
        <v>20</v>
      </c>
      <c r="H47" s="91"/>
      <c r="I47" s="91">
        <f>INDEX(Database[Financial Fairness (weighted)],C47)/Helper.FinancialFairnessWeight*100</f>
        <v>40</v>
      </c>
      <c r="J47" s="91"/>
      <c r="K47" s="91">
        <f>INDEX(Database[Health Distribution],C47)*10</f>
        <v>20</v>
      </c>
      <c r="L47" s="91"/>
      <c r="M47" s="91">
        <f>INDEX(Database[Responsiveness Distribution],C47)*10</f>
        <v>30</v>
      </c>
      <c r="N47" s="91"/>
      <c r="O47" s="95">
        <f>INDEX(Database[Total],C47)</f>
        <v>31.25</v>
      </c>
    </row>
    <row r="48" spans="1:15" x14ac:dyDescent="0.25">
      <c r="A48" s="91">
        <f t="shared" si="19"/>
        <v>33</v>
      </c>
      <c r="B48" s="92">
        <f>LARGE(Database[Analysis Sort Column],A48)</f>
        <v>2.7000000000000003E-2</v>
      </c>
      <c r="C48" s="91">
        <f>MATCH(B48,Database[Analysis Sort Column],0)</f>
        <v>18</v>
      </c>
      <c r="D48" s="91" t="str">
        <f>INDEX(Database[Country Name],C48)</f>
        <v>Iqeiskya</v>
      </c>
      <c r="E48" s="93">
        <f>INDEX(Database[Health Level],C48)*10</f>
        <v>60</v>
      </c>
      <c r="F48" s="94"/>
      <c r="G48" s="93">
        <f>INDEX(Database[Responsiveness],C48)*10</f>
        <v>20</v>
      </c>
      <c r="H48" s="91"/>
      <c r="I48" s="91">
        <f>INDEX(Database[Financial Fairness (weighted)],C48)/Helper.FinancialFairnessWeight*100</f>
        <v>50</v>
      </c>
      <c r="J48" s="91"/>
      <c r="K48" s="91">
        <f>INDEX(Database[Health Distribution],C48)*10</f>
        <v>60</v>
      </c>
      <c r="L48" s="91"/>
      <c r="M48" s="91">
        <f>INDEX(Database[Responsiveness Distribution],C48)*10</f>
        <v>60</v>
      </c>
      <c r="N48" s="91"/>
      <c r="O48" s="95">
        <f>INDEX(Database[Total],C48)</f>
        <v>52.499999999999993</v>
      </c>
    </row>
    <row r="49" spans="1:15" x14ac:dyDescent="0.25">
      <c r="A49" s="91">
        <f t="shared" si="19"/>
        <v>34</v>
      </c>
      <c r="B49" s="92">
        <f>LARGE(Database[Analysis Sort Column],A49)</f>
        <v>2.6100000000000002E-2</v>
      </c>
      <c r="C49" s="91">
        <f>MATCH(B49,Database[Analysis Sort Column],0)</f>
        <v>20</v>
      </c>
      <c r="D49" s="91" t="str">
        <f>INDEX(Database[Country Name],C49)</f>
        <v>Jaca</v>
      </c>
      <c r="E49" s="93">
        <f>INDEX(Database[Health Level],C49)*10</f>
        <v>90</v>
      </c>
      <c r="F49" s="94"/>
      <c r="G49" s="93">
        <f>INDEX(Database[Responsiveness],C49)*10</f>
        <v>20</v>
      </c>
      <c r="H49" s="91"/>
      <c r="I49" s="91">
        <f>INDEX(Database[Financial Fairness (weighted)],C49)/Helper.FinancialFairnessWeight*100</f>
        <v>10</v>
      </c>
      <c r="J49" s="91"/>
      <c r="K49" s="91">
        <f>INDEX(Database[Health Distribution],C49)*10</f>
        <v>10</v>
      </c>
      <c r="L49" s="91"/>
      <c r="M49" s="91">
        <f>INDEX(Database[Responsiveness Distribution],C49)*10</f>
        <v>10</v>
      </c>
      <c r="N49" s="91"/>
      <c r="O49" s="95">
        <f>INDEX(Database[Total],C49)</f>
        <v>31.250000000000007</v>
      </c>
    </row>
    <row r="50" spans="1:15" x14ac:dyDescent="0.25">
      <c r="A50" s="91">
        <f t="shared" si="19"/>
        <v>35</v>
      </c>
      <c r="B50" s="92">
        <f>LARGE(Database[Analysis Sort Column],A50)</f>
        <v>1.6400000000000001E-2</v>
      </c>
      <c r="C50" s="91">
        <f>MATCH(B50,Database[Analysis Sort Column],0)</f>
        <v>29</v>
      </c>
      <c r="D50" s="91" t="str">
        <f>INDEX(Database[Country Name],C50)</f>
        <v>Puafoabia</v>
      </c>
      <c r="E50" s="93">
        <f>INDEX(Database[Health Level],C50)*10</f>
        <v>30</v>
      </c>
      <c r="F50" s="94"/>
      <c r="G50" s="93">
        <f>INDEX(Database[Responsiveness],C50)*10</f>
        <v>10</v>
      </c>
      <c r="H50" s="91"/>
      <c r="I50" s="91">
        <f>INDEX(Database[Financial Fairness (weighted)],C50)/Helper.FinancialFairnessWeight*100</f>
        <v>90</v>
      </c>
      <c r="J50" s="91"/>
      <c r="K50" s="91">
        <f>INDEX(Database[Health Distribution],C50)*10</f>
        <v>40</v>
      </c>
      <c r="L50" s="91"/>
      <c r="M50" s="91">
        <f>INDEX(Database[Responsiveness Distribution],C50)*10</f>
        <v>20</v>
      </c>
      <c r="N50" s="91"/>
      <c r="O50" s="95">
        <f>INDEX(Database[Total],C50)</f>
        <v>43.75</v>
      </c>
    </row>
    <row r="51" spans="1:15" x14ac:dyDescent="0.25">
      <c r="A51" s="91">
        <f t="shared" si="19"/>
        <v>36</v>
      </c>
      <c r="B51" s="92">
        <f>LARGE(Database[Analysis Sort Column],A51)</f>
        <v>1.6300000000000002E-2</v>
      </c>
      <c r="C51" s="91">
        <f>MATCH(B51,Database[Analysis Sort Column],0)</f>
        <v>19</v>
      </c>
      <c r="D51" s="91" t="str">
        <f>INDEX(Database[Country Name],C51)</f>
        <v>Ithha</v>
      </c>
      <c r="E51" s="93">
        <f>INDEX(Database[Health Level],C51)*10</f>
        <v>100</v>
      </c>
      <c r="F51" s="94"/>
      <c r="G51" s="93">
        <f>INDEX(Database[Responsiveness],C51)*10</f>
        <v>10</v>
      </c>
      <c r="H51" s="91"/>
      <c r="I51" s="91">
        <f>INDEX(Database[Financial Fairness (weighted)],C51)/Helper.FinancialFairnessWeight*100</f>
        <v>90</v>
      </c>
      <c r="J51" s="91"/>
      <c r="K51" s="91">
        <f>INDEX(Database[Health Distribution],C51)*10</f>
        <v>70</v>
      </c>
      <c r="L51" s="91"/>
      <c r="M51" s="91">
        <f>INDEX(Database[Responsiveness Distribution],C51)*10</f>
        <v>50</v>
      </c>
      <c r="N51" s="91"/>
      <c r="O51" s="95">
        <f>INDEX(Database[Total],C51)</f>
        <v>72.500000000000014</v>
      </c>
    </row>
    <row r="52" spans="1:15" x14ac:dyDescent="0.25">
      <c r="A52" s="91">
        <f t="shared" si="19"/>
        <v>37</v>
      </c>
      <c r="B52" s="92">
        <f>LARGE(Database[Analysis Sort Column],A52)</f>
        <v>1.34E-2</v>
      </c>
      <c r="C52" s="91">
        <f>MATCH(B52,Database[Analysis Sort Column],0)</f>
        <v>6</v>
      </c>
      <c r="D52" s="91" t="str">
        <f>INDEX(Database[Country Name],C52)</f>
        <v>Dovaeria</v>
      </c>
      <c r="E52" s="93">
        <f>INDEX(Database[Health Level],C52)*10</f>
        <v>30</v>
      </c>
      <c r="F52" s="94"/>
      <c r="G52" s="93">
        <f>INDEX(Database[Responsiveness],C52)*10</f>
        <v>10</v>
      </c>
      <c r="H52" s="91"/>
      <c r="I52" s="91">
        <f>INDEX(Database[Financial Fairness (weighted)],C52)/Helper.FinancialFairnessWeight*100</f>
        <v>100</v>
      </c>
      <c r="J52" s="91"/>
      <c r="K52" s="91">
        <f>INDEX(Database[Health Distribution],C52)*10</f>
        <v>10</v>
      </c>
      <c r="L52" s="91"/>
      <c r="M52" s="91">
        <f>INDEX(Database[Responsiveness Distribution],C52)*10</f>
        <v>80</v>
      </c>
      <c r="N52" s="91"/>
      <c r="O52" s="95">
        <f>INDEX(Database[Total],C52)</f>
        <v>46.25</v>
      </c>
    </row>
    <row r="53" spans="1:15" x14ac:dyDescent="0.25">
      <c r="A53" s="99">
        <f t="shared" si="19"/>
        <v>38</v>
      </c>
      <c r="B53" s="100">
        <f>LARGE(Database[Analysis Sort Column],A53)</f>
        <v>1.3100000000000001E-2</v>
      </c>
      <c r="C53" s="99">
        <f>MATCH(B53,Database[Analysis Sort Column],0)</f>
        <v>10</v>
      </c>
      <c r="D53" s="99" t="str">
        <f>INDEX(Database[Country Name],C53)</f>
        <v>Elsmen</v>
      </c>
      <c r="E53" s="101">
        <f>INDEX(Database[Health Level],C53)*10</f>
        <v>30</v>
      </c>
      <c r="F53" s="102"/>
      <c r="G53" s="101">
        <f>INDEX(Database[Responsiveness],C53)*10</f>
        <v>10</v>
      </c>
      <c r="H53" s="99"/>
      <c r="I53" s="99">
        <f>INDEX(Database[Financial Fairness (weighted)],C53)/Helper.FinancialFairnessWeight*100</f>
        <v>20</v>
      </c>
      <c r="J53" s="99"/>
      <c r="K53" s="99">
        <f>INDEX(Database[Health Distribution],C53)*10</f>
        <v>80</v>
      </c>
      <c r="L53" s="99"/>
      <c r="M53" s="99">
        <f>INDEX(Database[Responsiveness Distribution],C53)*10</f>
        <v>20</v>
      </c>
      <c r="N53" s="99"/>
      <c r="O53" s="103">
        <f>INDEX(Database[Total],C53)</f>
        <v>36.250000000000007</v>
      </c>
    </row>
    <row r="54" spans="1:15" x14ac:dyDescent="0.25">
      <c r="A54" s="87"/>
      <c r="C54" s="87"/>
      <c r="D54" s="104" t="s">
        <v>93</v>
      </c>
      <c r="E54" s="93" t="b">
        <f>(E32=$D$32)</f>
        <v>0</v>
      </c>
      <c r="F54" s="93"/>
      <c r="G54" s="93" t="b">
        <f>(G32=$D$32)</f>
        <v>1</v>
      </c>
      <c r="H54" s="93"/>
      <c r="I54" s="93" t="b">
        <f>(I32=$D$32)</f>
        <v>0</v>
      </c>
      <c r="J54" s="93"/>
      <c r="K54" s="93" t="b">
        <f>(K32=$D$32)</f>
        <v>0</v>
      </c>
      <c r="L54" s="93"/>
      <c r="M54" s="93" t="b">
        <f>(M32=$D$32)</f>
        <v>0</v>
      </c>
      <c r="N54" s="93"/>
      <c r="O54" s="93" t="b">
        <f>(O32=$D$32)</f>
        <v>0</v>
      </c>
    </row>
  </sheetData>
  <sheetProtection selectLockedCells="1"/>
  <mergeCells count="4">
    <mergeCell ref="B27:C27"/>
    <mergeCell ref="G2:I2"/>
    <mergeCell ref="D4:D5"/>
    <mergeCell ref="B4:C5"/>
  </mergeCells>
  <conditionalFormatting sqref="E3:M3">
    <cfRule type="expression" dxfId="1" priority="2">
      <formula>(E54=TRUE)</formula>
    </cfRule>
  </conditionalFormatting>
  <conditionalFormatting sqref="D4:D5">
    <cfRule type="expression" dxfId="0" priority="1">
      <formula>($O$54=TRUE)</formula>
    </cfRule>
  </conditionalFormatting>
  <dataValidations count="1">
    <dataValidation type="list" allowBlank="1" showInputMessage="1" showErrorMessage="1" sqref="G2:I2">
      <formula1>"Total, Health Level, Responsiveness, Financial Fairness, Health Distribution, Responsiveness Distribution"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Scroll Bar 2">
              <controlPr defaultSize="0" autoPict="0">
                <anchor mov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Scroll Bar 3">
              <controlPr defaultSiz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Scroll Bar 4">
              <controlPr defaultSiz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Scroll Bar 5">
              <controlPr defaultSize="0" autoPict="0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croll Bar 6">
              <controlPr defaultSiz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Analysis.ScrollBar">
              <controlPr locked="0" defaultSize="0" autoPict="0">
                <anchor moveWithCells="1">
                  <from>
                    <xdr:col>0</xdr:col>
                    <xdr:colOff>38100</xdr:colOff>
                    <xdr:row>3</xdr:row>
                    <xdr:rowOff>590550</xdr:rowOff>
                  </from>
                  <to>
                    <xdr:col>0</xdr:col>
                    <xdr:colOff>228600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elper"/>
  <dimension ref="A1:E24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2" width="13.85546875" bestFit="1" customWidth="1"/>
    <col min="3" max="3" width="16" bestFit="1" customWidth="1"/>
    <col min="4" max="4" width="12.28515625" bestFit="1" customWidth="1"/>
  </cols>
  <sheetData>
    <row r="1" spans="1:5" x14ac:dyDescent="0.25">
      <c r="A1" t="s">
        <v>1</v>
      </c>
      <c r="B1">
        <v>1</v>
      </c>
      <c r="C1" s="13"/>
    </row>
    <row r="2" spans="1:5" x14ac:dyDescent="0.25">
      <c r="A2" t="s">
        <v>2</v>
      </c>
      <c r="B2">
        <v>3</v>
      </c>
      <c r="C2" s="12"/>
    </row>
    <row r="3" spans="1:5" x14ac:dyDescent="0.25">
      <c r="A3" s="18"/>
      <c r="B3" s="18"/>
      <c r="C3" s="18"/>
      <c r="D3" s="18"/>
    </row>
    <row r="4" spans="1:5" x14ac:dyDescent="0.25">
      <c r="A4" s="40" t="s">
        <v>75</v>
      </c>
      <c r="B4" s="40" t="s">
        <v>77</v>
      </c>
      <c r="C4" s="40" t="s">
        <v>78</v>
      </c>
      <c r="D4" s="40" t="s">
        <v>76</v>
      </c>
    </row>
    <row r="5" spans="1:5" x14ac:dyDescent="0.25">
      <c r="A5" s="41" t="s">
        <v>10</v>
      </c>
      <c r="B5" s="18">
        <v>20</v>
      </c>
      <c r="C5" s="18">
        <f>100-B5</f>
        <v>80</v>
      </c>
      <c r="D5" s="45">
        <f>C5/$C$10</f>
        <v>0.25</v>
      </c>
      <c r="E5" t="s">
        <v>79</v>
      </c>
    </row>
    <row r="6" spans="1:5" x14ac:dyDescent="0.25">
      <c r="A6" s="41" t="s">
        <v>11</v>
      </c>
      <c r="B6" s="18">
        <v>60</v>
      </c>
      <c r="C6" s="18">
        <f t="shared" ref="C6:C9" si="0">100-B6</f>
        <v>40</v>
      </c>
      <c r="D6" s="45">
        <f t="shared" ref="D6:D9" si="1">C6/$C$10</f>
        <v>0.125</v>
      </c>
      <c r="E6" t="s">
        <v>83</v>
      </c>
    </row>
    <row r="7" spans="1:5" x14ac:dyDescent="0.25">
      <c r="A7" s="41" t="s">
        <v>12</v>
      </c>
      <c r="B7" s="18">
        <v>20</v>
      </c>
      <c r="C7" s="18">
        <f t="shared" si="0"/>
        <v>80</v>
      </c>
      <c r="D7" s="45">
        <f t="shared" si="1"/>
        <v>0.25</v>
      </c>
      <c r="E7" t="s">
        <v>80</v>
      </c>
    </row>
    <row r="8" spans="1:5" x14ac:dyDescent="0.25">
      <c r="A8" s="41" t="s">
        <v>9</v>
      </c>
      <c r="B8" s="18">
        <v>20</v>
      </c>
      <c r="C8" s="18">
        <f t="shared" si="0"/>
        <v>80</v>
      </c>
      <c r="D8" s="45">
        <f t="shared" si="1"/>
        <v>0.25</v>
      </c>
      <c r="E8" t="s">
        <v>81</v>
      </c>
    </row>
    <row r="9" spans="1:5" ht="30" x14ac:dyDescent="0.25">
      <c r="A9" s="42" t="s">
        <v>8</v>
      </c>
      <c r="B9" s="43">
        <v>60</v>
      </c>
      <c r="C9" s="43">
        <f t="shared" si="0"/>
        <v>40</v>
      </c>
      <c r="D9" s="46">
        <f t="shared" si="1"/>
        <v>0.125</v>
      </c>
      <c r="E9" t="s">
        <v>82</v>
      </c>
    </row>
    <row r="10" spans="1:5" x14ac:dyDescent="0.25">
      <c r="A10" s="18"/>
      <c r="B10" s="18" t="s">
        <v>74</v>
      </c>
      <c r="C10" s="18">
        <f>SUM(C5:C9)</f>
        <v>320</v>
      </c>
      <c r="D10" s="44">
        <f>SUM(D5:D9)</f>
        <v>1</v>
      </c>
    </row>
    <row r="11" spans="1:5" x14ac:dyDescent="0.25">
      <c r="A11" s="18"/>
      <c r="B11" s="18"/>
      <c r="C11" s="18"/>
      <c r="D11" s="18"/>
    </row>
    <row r="19" spans="1:1" x14ac:dyDescent="0.25">
      <c r="A19" t="s">
        <v>94</v>
      </c>
    </row>
    <row r="20" spans="1:1" x14ac:dyDescent="0.25">
      <c r="A20" s="18">
        <v>20</v>
      </c>
    </row>
    <row r="21" spans="1:1" x14ac:dyDescent="0.25">
      <c r="A21" s="18">
        <v>60</v>
      </c>
    </row>
    <row r="22" spans="1:1" x14ac:dyDescent="0.25">
      <c r="A22" s="18">
        <v>20</v>
      </c>
    </row>
    <row r="23" spans="1:1" x14ac:dyDescent="0.25">
      <c r="A23" s="18">
        <v>20</v>
      </c>
    </row>
    <row r="24" spans="1:1" x14ac:dyDescent="0.25">
      <c r="A24" s="43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croll Bar 1">
              <controlPr defaultSize="0" autoPict="0">
                <anchor moveWithCells="1">
                  <from>
                    <xdr:col>0</xdr:col>
                    <xdr:colOff>533400</xdr:colOff>
                    <xdr:row>10</xdr:row>
                    <xdr:rowOff>85725</xdr:rowOff>
                  </from>
                  <to>
                    <xdr:col>0</xdr:col>
                    <xdr:colOff>723900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Scroll Bar 2">
              <controlPr defaultSize="0" autoPict="0">
                <anchor moveWithCells="1">
                  <from>
                    <xdr:col>0</xdr:col>
                    <xdr:colOff>876300</xdr:colOff>
                    <xdr:row>10</xdr:row>
                    <xdr:rowOff>123825</xdr:rowOff>
                  </from>
                  <to>
                    <xdr:col>0</xdr:col>
                    <xdr:colOff>1066800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Scroll Bar 3">
              <controlPr defaultSize="0" autoPict="0">
                <anchor moveWithCells="1">
                  <from>
                    <xdr:col>0</xdr:col>
                    <xdr:colOff>1209675</xdr:colOff>
                    <xdr:row>10</xdr:row>
                    <xdr:rowOff>104775</xdr:rowOff>
                  </from>
                  <to>
                    <xdr:col>1</xdr:col>
                    <xdr:colOff>19050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Scroll Bar 4">
              <controlPr defaultSize="0" autoPict="0">
                <anchor moveWithCells="1">
                  <from>
                    <xdr:col>1</xdr:col>
                    <xdr:colOff>133350</xdr:colOff>
                    <xdr:row>10</xdr:row>
                    <xdr:rowOff>171450</xdr:rowOff>
                  </from>
                  <to>
                    <xdr:col>1</xdr:col>
                    <xdr:colOff>323850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>
                <anchor moveWithCells="1">
                  <from>
                    <xdr:col>1</xdr:col>
                    <xdr:colOff>523875</xdr:colOff>
                    <xdr:row>10</xdr:row>
                    <xdr:rowOff>104775</xdr:rowOff>
                  </from>
                  <to>
                    <xdr:col>1</xdr:col>
                    <xdr:colOff>714375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Welcome</vt:lpstr>
      <vt:lpstr>Wizard</vt:lpstr>
      <vt:lpstr>Database</vt:lpstr>
      <vt:lpstr>Analysis</vt:lpstr>
      <vt:lpstr>Helper</vt:lpstr>
      <vt:lpstr>Analysis.SortColumnId</vt:lpstr>
      <vt:lpstr>Database.CurrentCountryID</vt:lpstr>
      <vt:lpstr>Database.CurrentIndex</vt:lpstr>
      <vt:lpstr>Database.FinancialFairnessWeight</vt:lpstr>
      <vt:lpstr>Database.HealthDistributionWeight</vt:lpstr>
      <vt:lpstr>Database.HealthLevelWeight</vt:lpstr>
      <vt:lpstr>Database.InputEntry</vt:lpstr>
      <vt:lpstr>Database.RecordCount</vt:lpstr>
      <vt:lpstr>Database.RecordMax</vt:lpstr>
      <vt:lpstr>Database.ResponsivenessDistributionWeight</vt:lpstr>
      <vt:lpstr>Database.ResponsivenessWeight</vt:lpstr>
      <vt:lpstr>Helper.CurrentPageIndex</vt:lpstr>
      <vt:lpstr>Helper.FinancialFairnessWeight</vt:lpstr>
      <vt:lpstr>Helper.HealthDistributionWeight</vt:lpstr>
      <vt:lpstr>Helper.HealthLevelWeight</vt:lpstr>
      <vt:lpstr>Helper.LinkedValues</vt:lpstr>
      <vt:lpstr>Helper.ResponsivenessDistributionWeight</vt:lpstr>
      <vt:lpstr>Helper.ResponsivenessWeight</vt:lpstr>
      <vt:lpstr>Helper.SavedWeights</vt:lpstr>
      <vt:lpstr>Helper.TotalPages</vt:lpstr>
      <vt:lpstr>Wizard.CheckboxAnchor</vt:lpstr>
      <vt:lpstr>Wizard.Comment</vt:lpstr>
      <vt:lpstr>Wizard.CountryName</vt:lpstr>
      <vt:lpstr>Wizard.FinancialFairness</vt:lpstr>
      <vt:lpstr>Wizard.HealthDistribution</vt:lpstr>
      <vt:lpstr>Wizard.HealthLevel</vt:lpstr>
      <vt:lpstr>Wizard.Responsiveness</vt:lpstr>
      <vt:lpstr>Wizard.ResponsivenessDistribution</vt:lpstr>
      <vt:lpstr>Wizard.StepRange</vt:lpstr>
      <vt:lpstr>Wizard.View1</vt:lpstr>
      <vt:lpstr>Wizard.View1.FirstFocus</vt:lpstr>
      <vt:lpstr>Wizard.View2</vt:lpstr>
      <vt:lpstr>Wizard.View2.FirstFocus</vt:lpstr>
      <vt:lpstr>Wizard.View3</vt:lpstr>
      <vt:lpstr>Wizard.View4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2013-10-17T18:42:23Z</dcterms:created>
  <dcterms:modified xsi:type="dcterms:W3CDTF">2014-10-21T20:53:48Z</dcterms:modified>
</cp:coreProperties>
</file>